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F-11f_완주매트릭스" sheetId="2" state="visible" r:id="rId4"/>
    <sheet name="F-11d_수정생존" sheetId="3" state="visible" r:id="rId5"/>
    <sheet name="§27_레이어계측" sheetId="4" state="visible" r:id="rId6"/>
    <sheet name="§29_기기누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<sst xmlns="http://schemas.openxmlformats.org/spreadsheetml/2006/main" count="334" uniqueCount="266">
  <si>
    <r>
      <rPr>
        <b val="true"/>
        <sz val="14"/>
        <rFont val="Noto Sans CJK SC"/>
        <family val="2"/>
      </rPr>
      <t xml:space="preserve">모듈 </t>
    </r>
    <r>
      <rPr>
        <b val="true"/>
        <sz val="14"/>
        <rFont val="맑은 고딕"/>
        <family val="0"/>
        <charset val="1"/>
      </rPr>
      <t xml:space="preserve">F </t>
    </r>
    <r>
      <rPr>
        <b val="true"/>
        <sz val="14"/>
        <rFont val="Noto Sans CJK SC"/>
        <family val="2"/>
      </rPr>
      <t xml:space="preserve">실측 기록 — </t>
    </r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월 </t>
    </r>
    <r>
      <rPr>
        <b val="true"/>
        <sz val="14"/>
        <rFont val="맑은 고딕"/>
        <family val="0"/>
        <charset val="1"/>
      </rPr>
      <t xml:space="preserve">31</t>
    </r>
    <r>
      <rPr>
        <b val="true"/>
        <sz val="14"/>
        <rFont val="Noto Sans CJK SC"/>
        <family val="2"/>
      </rPr>
      <t xml:space="preserve">일</t>
    </r>
  </si>
  <si>
    <r>
      <rPr>
        <sz val="9"/>
        <rFont val="Noto Sans CJK SC"/>
        <family val="2"/>
      </rPr>
      <t xml:space="preserve">스프링클러 수리계산 자동화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배포 전 일반화 검증</t>
    </r>
    <r>
      <rPr>
        <sz val="9"/>
        <rFont val="맑은 고딕"/>
        <family val="0"/>
        <charset val="1"/>
      </rPr>
      <t xml:space="preserve">(F-11d ~ F-11f) · </t>
    </r>
    <r>
      <rPr>
        <sz val="9"/>
        <rFont val="Noto Sans CJK SC"/>
        <family val="2"/>
      </rPr>
      <t xml:space="preserve">저장소 커밋 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건 및 계측 도구 원자료 기준</t>
    </r>
  </si>
  <si>
    <t xml:space="preserve">■ 작업 개요</t>
  </si>
  <si>
    <t xml:space="preserve">근무 일자</t>
  </si>
  <si>
    <r>
      <rPr>
        <sz val="10"/>
        <rFont val="맑은 고딕"/>
        <family val="0"/>
        <charset val="1"/>
      </rPr>
      <t xml:space="preserve">2026-08-31 (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</si>
  <si>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t xml:space="preserve">연장 근무</t>
  </si>
  <si>
    <r>
      <rPr>
        <sz val="10"/>
        <rFont val="맑은 고딕"/>
        <family val="0"/>
        <charset val="1"/>
      </rPr>
      <t xml:space="preserve">18:00 ~ 22:00 (4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)</t>
    </r>
  </si>
  <si>
    <t xml:space="preserve">커밋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</si>
  <si>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0"/>
        <charset val="1"/>
      </rPr>
      <t xml:space="preserve">(12:55 ~ 21:22) · </t>
    </r>
    <r>
      <rPr>
        <sz val="10"/>
        <rFont val="Noto Sans CJK SC"/>
        <family val="2"/>
      </rPr>
      <t xml:space="preserve">이 중 연장 근무분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0"/>
        <charset val="1"/>
      </rPr>
      <t xml:space="preserve">(18:51 ~ 21:22)</t>
    </r>
  </si>
  <si>
    <t xml:space="preserve">대상 도면</t>
  </si>
  <si>
    <r>
      <rPr>
        <sz val="10"/>
        <rFont val="Noto Sans CJK SC"/>
        <family val="2"/>
      </rPr>
      <t xml:space="preserve">대명동</t>
    </r>
    <r>
      <rPr>
        <sz val="10"/>
        <rFont val="맑은 고딕"/>
        <family val="0"/>
        <charset val="1"/>
      </rPr>
      <t xml:space="preserve">201</t>
    </r>
    <r>
      <rPr>
        <sz val="10"/>
        <rFont val="Noto Sans CJK SC"/>
        <family val="2"/>
      </rPr>
      <t xml:space="preserve">동 단위세대</t>
    </r>
    <r>
      <rPr>
        <sz val="10"/>
        <rFont val="맑은 고딕"/>
        <family val="0"/>
        <charset val="1"/>
      </rPr>
      <t xml:space="preserve">(13.3MB) · LH306</t>
    </r>
    <r>
      <rPr>
        <sz val="10"/>
        <rFont val="Noto Sans CJK SC"/>
        <family val="2"/>
      </rPr>
      <t xml:space="preserve">동 평면도</t>
    </r>
    <r>
      <rPr>
        <sz val="10"/>
        <rFont val="맑은 고딕"/>
        <family val="0"/>
        <charset val="1"/>
      </rPr>
      <t xml:space="preserve">(16.0MB) · B1F </t>
    </r>
    <r>
      <rPr>
        <sz val="10"/>
        <rFont val="Noto Sans CJK SC"/>
        <family val="2"/>
      </rPr>
      <t xml:space="preserve">현장조사 소화설비</t>
    </r>
    <r>
      <rPr>
        <sz val="10"/>
        <rFont val="맑은 고딕"/>
        <family val="0"/>
        <charset val="1"/>
      </rPr>
      <t xml:space="preserve">(110.6MB)</t>
    </r>
  </si>
  <si>
    <t xml:space="preserve">시험</t>
  </si>
  <si>
    <r>
      <rPr>
        <sz val="10"/>
        <rFont val="맑은 고딕"/>
        <family val="0"/>
        <charset val="1"/>
      </rPr>
      <t xml:space="preserve">tests 1,515</t>
    </r>
    <r>
      <rPr>
        <sz val="10"/>
        <rFont val="Noto Sans CJK SC"/>
        <family val="2"/>
      </rPr>
      <t xml:space="preserve">건 통과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브라우저 검증 </t>
    </r>
    <r>
      <rPr>
        <sz val="10"/>
        <rFont val="맑은 고딕"/>
        <family val="0"/>
        <charset val="1"/>
      </rPr>
      <t xml:space="preserve">PASS · </t>
    </r>
    <r>
      <rPr>
        <sz val="10"/>
        <rFont val="Noto Sans CJK SC"/>
        <family val="2"/>
      </rPr>
      <t xml:space="preserve">콘솔 오류 </t>
    </r>
    <r>
      <rPr>
        <sz val="10"/>
        <rFont val="맑은 고딕"/>
        <family val="0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</si>
  <si>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■ 커밋 기록   </t>
    </r>
    <r>
      <rPr>
        <b val="true"/>
        <sz val="11"/>
        <rFont val="맑은 고딕"/>
        <family val="0"/>
        <charset val="1"/>
      </rPr>
      <t xml:space="preserve">( ● </t>
    </r>
    <r>
      <rPr>
        <b val="true"/>
        <sz val="11"/>
        <rFont val="Noto Sans CJK SC"/>
        <family val="2"/>
      </rPr>
      <t xml:space="preserve">표시 </t>
    </r>
    <r>
      <rPr>
        <b val="true"/>
        <sz val="11"/>
        <rFont val="맑은 고딕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연장 근무 시간대 </t>
    </r>
    <r>
      <rPr>
        <b val="true"/>
        <sz val="11"/>
        <rFont val="맑은 고딕"/>
        <family val="0"/>
        <charset val="1"/>
      </rPr>
      <t xml:space="preserve">)</t>
    </r>
  </si>
  <si>
    <t xml:space="preserve">시각</t>
  </si>
  <si>
    <t xml:space="preserve">해시</t>
  </si>
  <si>
    <t xml:space="preserve">제목</t>
  </si>
  <si>
    <t xml:space="preserve">구분</t>
  </si>
  <si>
    <t xml:space="preserve">관련 기록</t>
  </si>
  <si>
    <t xml:space="preserve">비고</t>
  </si>
  <si>
    <t xml:space="preserve">12:55</t>
  </si>
  <si>
    <t xml:space="preserve">328a616</t>
  </si>
  <si>
    <r>
      <rPr>
        <sz val="10"/>
        <rFont val="맑은 고딕"/>
        <family val="0"/>
        <charset val="1"/>
      </rPr>
      <t xml:space="preserve">[F-11c] </t>
    </r>
    <r>
      <rPr>
        <sz val="10"/>
        <rFont val="Noto Sans CJK SC"/>
        <family val="2"/>
      </rPr>
      <t xml:space="preserve">관경 </t>
    </r>
    <r>
      <rPr>
        <sz val="10"/>
        <rFont val="맑은 고딕"/>
        <family val="0"/>
        <charset val="1"/>
      </rPr>
      <t xml:space="preserve">«</t>
    </r>
    <r>
      <rPr>
        <sz val="10"/>
        <rFont val="Noto Sans CJK SC"/>
        <family val="2"/>
      </rPr>
      <t xml:space="preserve">직접 입력</t>
    </r>
    <r>
      <rPr>
        <sz val="10"/>
        <rFont val="맑은 고딕"/>
        <family val="0"/>
        <charset val="1"/>
      </rPr>
      <t xml:space="preserve">» — </t>
    </r>
    <r>
      <rPr>
        <sz val="10"/>
        <rFont val="Noto Sans CJK SC"/>
        <family val="2"/>
      </rPr>
      <t xml:space="preserve">규칙 값도 덮되 원값을 남긴다</t>
    </r>
  </si>
  <si>
    <t xml:space="preserve">정규</t>
  </si>
  <si>
    <t xml:space="preserve">—</t>
  </si>
  <si>
    <r>
      <rPr>
        <sz val="9"/>
        <rFont val="Noto Sans CJK SC"/>
        <family val="2"/>
      </rPr>
      <t xml:space="preserve">수용기준 </t>
    </r>
    <r>
      <rPr>
        <sz val="9"/>
        <rFont val="맑은 고딕"/>
        <family val="0"/>
        <charset val="1"/>
      </rPr>
      <t xml:space="preserve">PASS</t>
    </r>
  </si>
  <si>
    <t xml:space="preserve">18:51</t>
  </si>
  <si>
    <t xml:space="preserve">19adaee</t>
  </si>
  <si>
    <r>
      <rPr>
        <sz val="10"/>
        <rFont val="맑은 고딕"/>
        <family val="0"/>
        <charset val="1"/>
      </rPr>
      <t xml:space="preserve">[F-11d] </t>
    </r>
    <r>
      <rPr>
        <sz val="10"/>
        <rFont val="Noto Sans CJK SC"/>
        <family val="2"/>
      </rPr>
      <t xml:space="preserve">수정 생존 규칙 — 안정 키로 이행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적용 못 한 것을 드러낸다</t>
    </r>
  </si>
  <si>
    <t xml:space="preserve">● 연장</t>
  </si>
  <si>
    <t xml:space="preserve">BLOCKED §22</t>
  </si>
  <si>
    <t xml:space="preserve">18:54</t>
  </si>
  <si>
    <t xml:space="preserve">e2cd078</t>
  </si>
  <si>
    <r>
      <rPr>
        <sz val="10"/>
        <rFont val="맑은 고딕"/>
        <family val="0"/>
        <charset val="1"/>
      </rPr>
      <t xml:space="preserve">[F-11e] </t>
    </r>
    <r>
      <rPr>
        <sz val="10"/>
        <rFont val="Noto Sans CJK SC"/>
        <family val="2"/>
      </rPr>
      <t xml:space="preserve">줄바꿈 규약을 파일로 못 박는다 </t>
    </r>
    <r>
      <rPr>
        <sz val="10"/>
        <rFont val="맑은 고딕"/>
        <family val="0"/>
        <charset val="1"/>
      </rPr>
      <t xml:space="preserve">(+ preview 404 </t>
    </r>
    <r>
      <rPr>
        <sz val="10"/>
        <rFont val="Noto Sans CJK SC"/>
        <family val="2"/>
      </rPr>
      <t xml:space="preserve">확인</t>
    </r>
    <r>
      <rPr>
        <sz val="10"/>
        <rFont val="맑은 고딕"/>
        <family val="0"/>
        <charset val="1"/>
      </rPr>
      <t xml:space="preserve">)</t>
    </r>
  </si>
  <si>
    <t xml:space="preserve">19:01</t>
  </si>
  <si>
    <t xml:space="preserve">f7ac1f5</t>
  </si>
  <si>
    <r>
      <rPr>
        <sz val="10"/>
        <rFont val="맑은 고딕"/>
        <family val="0"/>
        <charset val="1"/>
      </rPr>
      <t xml:space="preserve">[F-11e-3] BLOCKED </t>
    </r>
    <r>
      <rPr>
        <sz val="10"/>
        <rFont val="Noto Sans CJK SC"/>
        <family val="2"/>
      </rPr>
      <t xml:space="preserve">번호 중복 정리 — 「</t>
    </r>
    <r>
      <rPr>
        <sz val="10"/>
        <rFont val="맑은 고딕"/>
        <family val="0"/>
        <charset val="1"/>
      </rPr>
      <t xml:space="preserve">§N </t>
    </r>
    <r>
      <rPr>
        <sz val="10"/>
        <rFont val="Noto Sans CJK SC"/>
        <family val="2"/>
      </rPr>
      <t xml:space="preserve">은 하나만 가리킨다」</t>
    </r>
  </si>
  <si>
    <t xml:space="preserve">20:07</t>
  </si>
  <si>
    <t xml:space="preserve">e58a08b</t>
  </si>
  <si>
    <r>
      <rPr>
        <sz val="10"/>
        <rFont val="맑은 고딕"/>
        <family val="0"/>
        <charset val="1"/>
      </rPr>
      <t xml:space="preserve">[F-11f] </t>
    </r>
    <r>
      <rPr>
        <sz val="10"/>
        <rFont val="Noto Sans CJK SC"/>
        <family val="2"/>
      </rPr>
      <t xml:space="preserve">세 도면 완주 실측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수정 가능성 매트릭스 초판</t>
    </r>
  </si>
  <si>
    <t xml:space="preserve">docs/repairability_matrix.md</t>
  </si>
  <si>
    <t xml:space="preserve">20:26</t>
  </si>
  <si>
    <t xml:space="preserve">8a18b04</t>
  </si>
  <si>
    <r>
      <rPr>
        <sz val="10"/>
        <rFont val="Noto Sans CJK SC"/>
        <family val="2"/>
      </rPr>
      <t xml:space="preserve">계통도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기계실 진단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찍기 묶음에 </t>
    </r>
    <r>
      <rPr>
        <sz val="10"/>
        <rFont val="맑은 고딕"/>
        <family val="0"/>
        <charset val="1"/>
      </rPr>
      <t xml:space="preserve">«</t>
    </r>
    <r>
      <rPr>
        <sz val="10"/>
        <rFont val="Noto Sans CJK SC"/>
        <family val="2"/>
      </rPr>
      <t xml:space="preserve">잰 값</t>
    </r>
    <r>
      <rPr>
        <sz val="10"/>
        <rFont val="맑은 고딕"/>
        <family val="0"/>
        <charset val="1"/>
      </rPr>
      <t xml:space="preserve">» </t>
    </r>
    <r>
      <rPr>
        <sz val="10"/>
        <rFont val="Noto Sans CJK SC"/>
        <family val="2"/>
      </rPr>
      <t xml:space="preserve">을 적는다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판정은 안 붙인다</t>
    </r>
    <r>
      <rPr>
        <sz val="10"/>
        <rFont val="맑은 고딕"/>
        <family val="0"/>
        <charset val="1"/>
      </rPr>
      <t xml:space="preserve">)</t>
    </r>
  </si>
  <si>
    <t xml:space="preserve">BLOCKED §27·§28</t>
  </si>
  <si>
    <t xml:space="preserve">자동 판정 미채택</t>
  </si>
  <si>
    <t xml:space="preserve">20:45</t>
  </si>
  <si>
    <t xml:space="preserve">711c0ac</t>
  </si>
  <si>
    <r>
      <rPr>
        <sz val="10"/>
        <rFont val="Noto Sans CJK SC"/>
        <family val="2"/>
      </rPr>
      <t xml:space="preserve">연결성 힌트도 재서 기각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검증기 </t>
    </r>
    <r>
      <rPr>
        <sz val="10"/>
        <rFont val="맑은 고딕"/>
        <family val="0"/>
        <charset val="1"/>
      </rPr>
      <t xml:space="preserve">«</t>
    </r>
    <r>
      <rPr>
        <sz val="10"/>
        <rFont val="Noto Sans CJK SC"/>
        <family val="2"/>
      </rPr>
      <t xml:space="preserve">도착 판정</t>
    </r>
    <r>
      <rPr>
        <sz val="10"/>
        <rFont val="맑은 고딕"/>
        <family val="0"/>
        <charset val="1"/>
      </rPr>
      <t xml:space="preserve">» </t>
    </r>
    <r>
      <rPr>
        <sz val="10"/>
        <rFont val="Noto Sans CJK SC"/>
        <family val="2"/>
      </rPr>
      <t xml:space="preserve">경합 해소</t>
    </r>
  </si>
  <si>
    <t xml:space="preserve">지표 미채택</t>
  </si>
  <si>
    <t xml:space="preserve">21:22</t>
  </si>
  <si>
    <t xml:space="preserve">a651a8d</t>
  </si>
  <si>
    <r>
      <rPr>
        <b val="true"/>
        <sz val="10"/>
        <rFont val="Noto Sans CJK SC"/>
        <family val="2"/>
      </rPr>
      <t xml:space="preserve">★ 모듈 </t>
    </r>
    <r>
      <rPr>
        <b val="true"/>
        <sz val="10"/>
        <rFont val="맑은 고딕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산출물에 기기</t>
    </r>
    <r>
      <rPr>
        <b val="true"/>
        <sz val="10"/>
        <rFont val="맑은 고딕"/>
        <family val="0"/>
        <charset val="1"/>
      </rPr>
      <t xml:space="preserve">(FX·</t>
    </r>
    <r>
      <rPr>
        <b val="true"/>
        <sz val="10"/>
        <rFont val="Noto Sans CJK SC"/>
        <family val="2"/>
      </rPr>
      <t xml:space="preserve">알람밸브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가 통째로 없다 — 크기를 재서 기록</t>
    </r>
  </si>
  <si>
    <t xml:space="preserve">BLOCKED §29</t>
  </si>
  <si>
    <r>
      <rPr>
        <sz val="9"/>
        <rFont val="Noto Sans CJK SC"/>
        <family val="2"/>
      </rPr>
      <t xml:space="preserve">미해결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사람 결정 필요</t>
    </r>
  </si>
  <si>
    <r>
      <rPr>
        <b val="true"/>
        <sz val="11"/>
        <rFont val="Noto Sans CJK SC"/>
        <family val="2"/>
      </rPr>
      <t xml:space="preserve">■ 오늘 확정한 것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오늘 남긴 것</t>
    </r>
  </si>
  <si>
    <t xml:space="preserve">내용</t>
  </si>
  <si>
    <t xml:space="preserve">근거 시트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</si>
  <si>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확정</t>
    </r>
    <r>
      <rPr>
        <b val="true"/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</si>
  <si>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세 도면 모두 사람 결정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회로 완주 — 종전 기준으로 채택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이던 </t>
    </r>
    <r>
      <rPr>
        <sz val="10"/>
        <rFont val="맑은 고딕"/>
        <family val="0"/>
        <charset val="1"/>
      </rPr>
      <t xml:space="preserve">LH306</t>
    </r>
    <r>
      <rPr>
        <sz val="10"/>
        <rFont val="Noto Sans CJK SC"/>
        <family val="2"/>
      </rPr>
      <t xml:space="preserve">이 질문 없이 산출까지 도달</t>
    </r>
  </si>
  <si>
    <r>
      <rPr>
        <sz val="9"/>
        <rFont val="맑은 고딕"/>
        <family val="0"/>
        <charset val="1"/>
      </rPr>
      <t xml:space="preserve">F-11f_</t>
    </r>
    <r>
      <rPr>
        <sz val="9"/>
        <rFont val="Noto Sans CJK SC"/>
        <family val="2"/>
      </rPr>
      <t xml:space="preserve">완주매트릭스</t>
    </r>
  </si>
  <si>
    <r>
      <rPr>
        <sz val="10"/>
        <rFont val="Noto Sans CJK SC"/>
        <family val="2"/>
      </rPr>
      <t xml:space="preserve">설계자 직접 입력값이 재계산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기준개수 변경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건너 생존 — 종전 키 생존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 → 안정 키 전건 생존</t>
    </r>
  </si>
  <si>
    <r>
      <rPr>
        <sz val="9"/>
        <rFont val="맑은 고딕"/>
        <family val="0"/>
        <charset val="1"/>
      </rPr>
      <t xml:space="preserve">F-11d_</t>
    </r>
    <r>
      <rPr>
        <sz val="9"/>
        <rFont val="Noto Sans CJK SC"/>
        <family val="2"/>
      </rPr>
      <t xml:space="preserve">수정생존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</si>
  <si>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보류</t>
    </r>
    <r>
      <rPr>
        <b val="true"/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</si>
  <si>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레이어 자동 역할 판정 — 대조군 계측에서 정반대로 작동해 미채택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계측값만 화면에 표기</t>
    </r>
  </si>
  <si>
    <r>
      <rPr>
        <sz val="9"/>
        <rFont val="맑은 고딕"/>
        <family val="0"/>
        <charset val="1"/>
      </rPr>
      <t xml:space="preserve">§27_</t>
    </r>
    <r>
      <rPr>
        <sz val="9"/>
        <rFont val="Noto Sans CJK SC"/>
        <family val="2"/>
      </rPr>
      <t xml:space="preserve">레이어계측</t>
    </r>
  </si>
  <si>
    <r>
      <rPr>
        <b val="true"/>
        <sz val="10"/>
        <rFont val="맑은 고딕"/>
        <family val="0"/>
        <charset val="1"/>
      </rPr>
      <t xml:space="preserve">★[</t>
    </r>
    <r>
      <rPr>
        <b val="true"/>
        <sz val="10"/>
        <rFont val="Noto Sans CJK SC"/>
        <family val="2"/>
      </rPr>
      <t xml:space="preserve">미해결</t>
    </r>
    <r>
      <rPr>
        <b val="true"/>
        <sz val="10"/>
        <rFont val="맑은 고딕"/>
        <family val="0"/>
        <charset val="1"/>
      </rPr>
      <t xml:space="preserve">]</t>
    </r>
  </si>
  <si>
    <r>
      <rPr>
        <b val="true"/>
        <sz val="10"/>
        <rFont val="Noto Sans CJK SC"/>
        <family val="2"/>
      </rPr>
      <t xml:space="preserve">수리계산 입력에 기기</t>
    </r>
    <r>
      <rPr>
        <b val="true"/>
        <sz val="10"/>
        <rFont val="맑은 고딕"/>
        <family val="0"/>
        <charset val="1"/>
      </rPr>
      <t xml:space="preserve">(FX·</t>
    </r>
    <r>
      <rPr>
        <b val="true"/>
        <sz val="10"/>
        <rFont val="Noto Sans CJK SC"/>
        <family val="2"/>
      </rPr>
      <t xml:space="preserve">알람밸브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누락 — 등가길이 </t>
    </r>
    <r>
      <rPr>
        <b val="true"/>
        <sz val="10"/>
        <rFont val="맑은 고딕"/>
        <family val="0"/>
        <charset val="1"/>
      </rPr>
      <t xml:space="preserve">512.1 m (</t>
    </r>
    <r>
      <rPr>
        <b val="true"/>
        <sz val="10"/>
        <rFont val="Noto Sans CJK SC"/>
        <family val="2"/>
      </rPr>
      <t xml:space="preserve">배관 총연장의 </t>
    </r>
    <r>
      <rPr>
        <b val="true"/>
        <sz val="10"/>
        <rFont val="맑은 고딕"/>
        <family val="0"/>
        <charset val="1"/>
      </rPr>
      <t xml:space="preserve">382%) </t>
    </r>
    <r>
      <rPr>
        <b val="true"/>
        <sz val="10"/>
        <rFont val="Noto Sans CJK SC"/>
        <family val="2"/>
      </rPr>
      <t xml:space="preserve">미반영</t>
    </r>
  </si>
  <si>
    <r>
      <rPr>
        <sz val="9"/>
        <rFont val="맑은 고딕"/>
        <family val="0"/>
        <charset val="1"/>
      </rPr>
      <t xml:space="preserve">§29_</t>
    </r>
    <r>
      <rPr>
        <sz val="9"/>
        <rFont val="Noto Sans CJK SC"/>
        <family val="2"/>
      </rPr>
      <t xml:space="preserve">기기누락</t>
    </r>
  </si>
  <si>
    <r>
      <rPr>
        <sz val="9"/>
        <rFont val="Noto Sans CJK SC"/>
        <family val="2"/>
      </rPr>
      <t xml:space="preserve">※ 이 문서의 수치는 저장소 커밋 메시지</t>
    </r>
    <r>
      <rPr>
        <sz val="9"/>
        <rFont val="맑은 고딕"/>
        <family val="0"/>
        <charset val="1"/>
      </rPr>
      <t xml:space="preserve">·BLOCKED.md·</t>
    </r>
    <r>
      <rPr>
        <sz val="9"/>
        <rFont val="Noto Sans CJK SC"/>
        <family val="2"/>
      </rPr>
      <t xml:space="preserve">계측 도구 원자료</t>
    </r>
    <r>
      <rPr>
        <sz val="9"/>
        <rFont val="맑은 고딕"/>
        <family val="0"/>
        <charset val="1"/>
      </rPr>
      <t xml:space="preserve">(data/_f11f_lanes.json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에서 그대로 옮긴 것이며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임의로 보정하거나 추정한 값은 각 시트에 그 사실을 밝혀 두었습니다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</si>
  <si>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F-11f · </t>
    </r>
    <r>
      <rPr>
        <b val="true"/>
        <sz val="14"/>
        <rFont val="Noto Sans CJK SC"/>
        <family val="2"/>
      </rPr>
      <t xml:space="preserve">세 도면 완주 실측</t>
    </r>
  </si>
  <si>
    <r>
      <rPr>
        <sz val="9"/>
        <rFont val="Noto Sans CJK SC"/>
        <family val="2"/>
      </rPr>
      <t xml:space="preserve">한 바퀴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자동 진입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지배 띠가 임계를 스스로 정함</t>
    </r>
    <r>
      <rPr>
        <sz val="9"/>
        <rFont val="맑은 고딕"/>
        <family val="0"/>
        <charset val="1"/>
      </rPr>
      <t xml:space="preserve">) → </t>
    </r>
    <r>
      <rPr>
        <sz val="9"/>
        <rFont val="Noto Sans CJK SC"/>
        <family val="2"/>
      </rPr>
      <t xml:space="preserve">원클릭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급수 시작 위치</t>
    </r>
    <r>
      <rPr>
        <sz val="9"/>
        <rFont val="맑은 고딕"/>
        <family val="0"/>
        <charset val="1"/>
      </rPr>
      <t xml:space="preserve">) → </t>
    </r>
    <r>
      <rPr>
        <sz val="9"/>
        <rFont val="Noto Sans CJK SC"/>
        <family val="2"/>
      </rPr>
      <t xml:space="preserve">직접 입력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건 → 재확정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그 수정이 살아남나</t>
    </r>
    <r>
      <rPr>
        <sz val="9"/>
        <rFont val="맑은 고딕"/>
        <family val="0"/>
        <charset val="1"/>
      </rPr>
      <t xml:space="preserve">) → </t>
    </r>
    <r>
      <rPr>
        <sz val="9"/>
        <rFont val="Noto Sans CJK SC"/>
        <family val="2"/>
      </rPr>
      <t xml:space="preserve">산출</t>
    </r>
    <r>
      <rPr>
        <sz val="9"/>
        <rFont val="맑은 고딕"/>
        <family val="0"/>
        <charset val="1"/>
      </rPr>
      <t xml:space="preserve">(.sdf + .slf)   · </t>
    </r>
    <r>
      <rPr>
        <sz val="9"/>
        <rFont val="Noto Sans CJK SC"/>
        <family val="2"/>
      </rPr>
      <t xml:space="preserve">도구 </t>
    </r>
    <r>
      <rPr>
        <sz val="9"/>
        <rFont val="맑은 고딕"/>
        <family val="0"/>
        <charset val="1"/>
      </rPr>
      <t xml:space="preserve">scripts/_probe_f11f_lanes.py · </t>
    </r>
    <r>
      <rPr>
        <sz val="9"/>
        <rFont val="Noto Sans CJK SC"/>
        <family val="2"/>
      </rPr>
      <t xml:space="preserve">원자료 </t>
    </r>
    <r>
      <rPr>
        <sz val="9"/>
        <rFont val="맑은 고딕"/>
        <family val="0"/>
        <charset val="1"/>
      </rPr>
      <t xml:space="preserve">data/_f11f_lanes.json</t>
    </r>
  </si>
  <si>
    <t xml:space="preserve">항목</t>
  </si>
  <si>
    <r>
      <rPr>
        <b val="true"/>
        <sz val="10"/>
        <rFont val="Noto Sans CJK SC"/>
        <family val="2"/>
      </rPr>
      <t xml:space="preserve">대명동</t>
    </r>
    <r>
      <rPr>
        <b val="true"/>
        <sz val="10"/>
        <rFont val="맑은 고딕"/>
        <family val="0"/>
        <charset val="1"/>
      </rPr>
      <t xml:space="preserve">201</t>
    </r>
    <r>
      <rPr>
        <b val="true"/>
        <sz val="10"/>
        <rFont val="Noto Sans CJK SC"/>
        <family val="2"/>
      </rPr>
      <t xml:space="preserve">동 단위세대</t>
    </r>
  </si>
  <si>
    <r>
      <rPr>
        <b val="true"/>
        <sz val="10"/>
        <rFont val="맑은 고딕"/>
        <family val="0"/>
        <charset val="1"/>
      </rPr>
      <t xml:space="preserve">LH306</t>
    </r>
    <r>
      <rPr>
        <b val="true"/>
        <sz val="10"/>
        <rFont val="Noto Sans CJK SC"/>
        <family val="2"/>
      </rPr>
      <t xml:space="preserve">동 평면도</t>
    </r>
  </si>
  <si>
    <r>
      <rPr>
        <b val="true"/>
        <sz val="10"/>
        <rFont val="맑은 고딕"/>
        <family val="0"/>
        <charset val="1"/>
      </rPr>
      <t xml:space="preserve">B1F </t>
    </r>
    <r>
      <rPr>
        <b val="true"/>
        <sz val="10"/>
        <rFont val="Noto Sans CJK SC"/>
        <family val="2"/>
      </rPr>
      <t xml:space="preserve">현장조사 소화설비</t>
    </r>
  </si>
  <si>
    <t xml:space="preserve">입력</t>
  </si>
  <si>
    <r>
      <rPr>
        <sz val="10"/>
        <rFont val="Noto Sans CJK SC"/>
        <family val="2"/>
      </rPr>
      <t xml:space="preserve">파일 크기 </t>
    </r>
    <r>
      <rPr>
        <sz val="10"/>
        <rFont val="맑은 고딕"/>
        <family val="0"/>
        <charset val="1"/>
      </rPr>
      <t xml:space="preserve">(MB)</t>
    </r>
  </si>
  <si>
    <r>
      <rPr>
        <sz val="10"/>
        <rFont val="Noto Sans CJK SC"/>
        <family val="2"/>
      </rPr>
      <t xml:space="preserve">도면 열기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)</t>
    </r>
  </si>
  <si>
    <t xml:space="preserve">인식</t>
  </si>
  <si>
    <r>
      <rPr>
        <sz val="10"/>
        <rFont val="Noto Sans CJK SC"/>
        <family val="2"/>
      </rPr>
      <t xml:space="preserve">헤드 후보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</si>
  <si>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높음 띠 </t>
    </r>
    <r>
      <rPr>
        <sz val="10"/>
        <rFont val="맑은 고딕"/>
        <family val="0"/>
        <charset val="1"/>
      </rPr>
      <t xml:space="preserve">(≥0.9)</t>
    </r>
  </si>
  <si>
    <r>
      <rPr>
        <sz val="10"/>
        <rFont val="Noto Sans CJK SC"/>
        <family val="2"/>
      </rPr>
      <t xml:space="preserve">  중간 띠 </t>
    </r>
    <r>
      <rPr>
        <sz val="10"/>
        <rFont val="맑은 고딕"/>
        <family val="0"/>
        <charset val="1"/>
      </rPr>
      <t xml:space="preserve">(≥0.75)</t>
    </r>
  </si>
  <si>
    <t xml:space="preserve">  낮음 띠</t>
  </si>
  <si>
    <t xml:space="preserve">채택</t>
  </si>
  <si>
    <t xml:space="preserve">적용 규칙</t>
  </si>
  <si>
    <t xml:space="preserve">high</t>
  </si>
  <si>
    <t xml:space="preserve">high_mid</t>
  </si>
  <si>
    <t xml:space="preserve">채택 임계</t>
  </si>
  <si>
    <r>
      <rPr>
        <sz val="10"/>
        <rFont val="Noto Sans CJK SC"/>
        <family val="2"/>
      </rPr>
      <t xml:space="preserve">채택 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</si>
  <si>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채택률 </t>
    </r>
    <r>
      <rPr>
        <sz val="10"/>
        <rFont val="맑은 고딕"/>
        <family val="0"/>
        <charset val="1"/>
      </rPr>
      <t xml:space="preserve">(%)</t>
    </r>
  </si>
  <si>
    <t xml:space="preserve">조립</t>
  </si>
  <si>
    <r>
      <rPr>
        <sz val="10"/>
        <rFont val="맑은 고딕"/>
        <family val="0"/>
        <charset val="1"/>
      </rPr>
      <t xml:space="preserve">board </t>
    </r>
    <r>
      <rPr>
        <sz val="10"/>
        <rFont val="Noto Sans CJK SC"/>
        <family val="2"/>
      </rPr>
      <t xml:space="preserve">절점</t>
    </r>
  </si>
  <si>
    <r>
      <rPr>
        <sz val="10"/>
        <rFont val="맑은 고딕"/>
        <family val="0"/>
        <charset val="1"/>
      </rPr>
      <t xml:space="preserve">board </t>
    </r>
    <r>
      <rPr>
        <sz val="10"/>
        <rFont val="Noto Sans CJK SC"/>
        <family val="2"/>
      </rPr>
      <t xml:space="preserve">간선</t>
    </r>
  </si>
  <si>
    <r>
      <rPr>
        <sz val="10"/>
        <rFont val="맑은 고딕"/>
        <family val="0"/>
        <charset val="1"/>
      </rPr>
      <t xml:space="preserve">board </t>
    </r>
    <r>
      <rPr>
        <sz val="10"/>
        <rFont val="Noto Sans CJK SC"/>
        <family val="2"/>
      </rPr>
      <t xml:space="preserve">헤드</t>
    </r>
  </si>
  <si>
    <t xml:space="preserve">선정</t>
  </si>
  <si>
    <r>
      <rPr>
        <sz val="10"/>
        <rFont val="Noto Sans CJK SC"/>
        <family val="2"/>
      </rPr>
      <t xml:space="preserve">기준개수 </t>
    </r>
    <r>
      <rPr>
        <sz val="10"/>
        <rFont val="맑은 고딕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</si>
  <si>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최원 유하거리 </t>
    </r>
    <r>
      <rPr>
        <sz val="10"/>
        <rFont val="맑은 고딕"/>
        <family val="0"/>
        <charset val="1"/>
      </rPr>
      <t xml:space="preserve">(m)</t>
    </r>
  </si>
  <si>
    <r>
      <rPr>
        <sz val="10"/>
        <rFont val="Noto Sans CJK SC"/>
        <family val="2"/>
      </rPr>
      <t xml:space="preserve">앵커 클릭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)</t>
    </r>
  </si>
  <si>
    <t xml:space="preserve">확정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</si>
  <si>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표 확정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</si>
  <si>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배관 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</si>
  <si>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부속 판정 불가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</si>
  <si>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t xml:space="preserve">수정</t>
  </si>
  <si>
    <r>
      <rPr>
        <sz val="10"/>
        <rFont val="Noto Sans CJK SC"/>
        <family val="2"/>
      </rPr>
      <t xml:space="preserve">직접 입력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</si>
  <si>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부속 </t>
    </r>
    <r>
      <rPr>
        <sz val="10"/>
        <rFont val="맑은 고딕"/>
        <family val="0"/>
        <charset val="1"/>
      </rPr>
      <t xml:space="preserve">P12·</t>
    </r>
    <r>
      <rPr>
        <sz val="10"/>
        <rFont val="Noto Sans CJK SC"/>
        <family val="2"/>
      </rPr>
      <t xml:space="preserve">노드 </t>
    </r>
    <r>
      <rPr>
        <sz val="10"/>
        <rFont val="맑은 고딕"/>
        <family val="0"/>
        <charset val="1"/>
      </rPr>
      <t xml:space="preserve">N99 → </t>
    </r>
    <r>
      <rPr>
        <sz val="10"/>
        <rFont val="Noto Sans CJK SC"/>
        <family val="2"/>
      </rPr>
      <t xml:space="preserve">직선</t>
    </r>
  </si>
  <si>
    <r>
      <rPr>
        <sz val="10"/>
        <rFont val="Noto Sans CJK SC"/>
        <family val="2"/>
      </rPr>
      <t xml:space="preserve">부속 </t>
    </r>
    <r>
      <rPr>
        <sz val="10"/>
        <rFont val="맑은 고딕"/>
        <family val="0"/>
        <charset val="1"/>
      </rPr>
      <t xml:space="preserve">P48·</t>
    </r>
    <r>
      <rPr>
        <sz val="10"/>
        <rFont val="Noto Sans CJK SC"/>
        <family val="2"/>
      </rPr>
      <t xml:space="preserve">노드 </t>
    </r>
    <r>
      <rPr>
        <sz val="10"/>
        <rFont val="맑은 고딕"/>
        <family val="0"/>
        <charset val="1"/>
      </rPr>
      <t xml:space="preserve">N50 → </t>
    </r>
    <r>
      <rPr>
        <sz val="10"/>
        <rFont val="Noto Sans CJK SC"/>
        <family val="2"/>
      </rPr>
      <t xml:space="preserve">직선</t>
    </r>
  </si>
  <si>
    <r>
      <rPr>
        <sz val="10"/>
        <rFont val="Noto Sans CJK SC"/>
        <family val="2"/>
      </rPr>
      <t xml:space="preserve">부속 </t>
    </r>
    <r>
      <rPr>
        <sz val="10"/>
        <rFont val="맑은 고딕"/>
        <family val="0"/>
        <charset val="1"/>
      </rPr>
      <t xml:space="preserve">P165·</t>
    </r>
    <r>
      <rPr>
        <sz val="10"/>
        <rFont val="Noto Sans CJK SC"/>
        <family val="2"/>
      </rPr>
      <t xml:space="preserve">노드 </t>
    </r>
    <r>
      <rPr>
        <sz val="10"/>
        <rFont val="맑은 고딕"/>
        <family val="0"/>
        <charset val="1"/>
      </rPr>
      <t xml:space="preserve">N217 → </t>
    </r>
    <r>
      <rPr>
        <sz val="10"/>
        <rFont val="Noto Sans CJK SC"/>
        <family val="2"/>
      </rPr>
      <t xml:space="preserve">직선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</si>
  <si>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표 확정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</si>
  <si>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산출 </t>
    </r>
    <r>
      <rPr>
        <sz val="10"/>
        <rFont val="맑은 고딕"/>
        <family val="0"/>
        <charset val="1"/>
      </rPr>
      <t xml:space="preserve">meta </t>
    </r>
    <r>
      <rPr>
        <sz val="10"/>
        <rFont val="Noto Sans CJK SC"/>
        <family val="2"/>
      </rPr>
      <t xml:space="preserve">부속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</si>
  <si>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적용 못 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</si>
  <si>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t xml:space="preserve">수정 생존 여부</t>
  </si>
  <si>
    <t xml:space="preserve">생존</t>
  </si>
  <si>
    <t xml:space="preserve">산출</t>
  </si>
  <si>
    <r>
      <rPr>
        <sz val="10"/>
        <rFont val="맑은 고딕"/>
        <family val="0"/>
        <charset val="1"/>
      </rPr>
      <t xml:space="preserve">SDF </t>
    </r>
    <r>
      <rPr>
        <sz val="10"/>
        <rFont val="Noto Sans CJK SC"/>
        <family val="2"/>
      </rPr>
      <t xml:space="preserve">크기 </t>
    </r>
    <r>
      <rPr>
        <sz val="10"/>
        <rFont val="맑은 고딕"/>
        <family val="0"/>
        <charset val="1"/>
      </rPr>
      <t xml:space="preserve">(bytes)</t>
    </r>
  </si>
  <si>
    <r>
      <rPr>
        <sz val="10"/>
        <rFont val="Noto Sans CJK SC"/>
        <family val="2"/>
      </rPr>
      <t xml:space="preserve">산출 소요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)</t>
    </r>
  </si>
  <si>
    <t xml:space="preserve">결과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</si>
  <si>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결과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총 소요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</si>
  <si>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결과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총 소요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</si>
  <si>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결과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사람 결정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회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</si>
  <si>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★ LH306</t>
    </r>
    <r>
      <rPr>
        <sz val="9"/>
        <rFont val="Noto Sans CJK SC"/>
        <family val="2"/>
      </rPr>
      <t xml:space="preserve">동은 높음 띠가 </t>
    </r>
    <r>
      <rPr>
        <sz val="9"/>
        <rFont val="맑은 고딕"/>
        <family val="0"/>
        <charset val="1"/>
      </rPr>
      <t xml:space="preserve">0/42</t>
    </r>
    <r>
      <rPr>
        <sz val="9"/>
        <rFont val="Noto Sans CJK SC"/>
        <family val="2"/>
      </rPr>
      <t xml:space="preserve">라 종전 절대 임계 </t>
    </r>
    <r>
      <rPr>
        <sz val="9"/>
        <rFont val="맑은 고딕"/>
        <family val="0"/>
        <charset val="1"/>
      </rPr>
      <t xml:space="preserve">0.9</t>
    </r>
    <r>
      <rPr>
        <sz val="9"/>
        <rFont val="Noto Sans CJK SC"/>
        <family val="2"/>
      </rPr>
      <t xml:space="preserve">로는 채택 </t>
    </r>
    <r>
      <rPr>
        <sz val="9"/>
        <rFont val="맑은 고딕"/>
        <family val="0"/>
        <charset val="1"/>
      </rPr>
      <t xml:space="preserve">0 → </t>
    </r>
    <r>
      <rPr>
        <sz val="9"/>
        <rFont val="Noto Sans CJK SC"/>
        <family val="2"/>
      </rPr>
      <t xml:space="preserve">조립 불가였던 도면입니다</t>
    </r>
    <r>
      <rPr>
        <sz val="9"/>
        <rFont val="맑은 고딕"/>
        <family val="0"/>
        <charset val="1"/>
      </rPr>
      <t xml:space="preserve">(BLOCKED §16). </t>
    </r>
    <r>
      <rPr>
        <sz val="9"/>
        <rFont val="Noto Sans CJK SC"/>
        <family val="2"/>
      </rPr>
      <t xml:space="preserve">지배 띠 규칙이 중간까지 채택해 </t>
    </r>
    <r>
      <rPr>
        <sz val="9"/>
        <rFont val="맑은 고딕"/>
        <family val="0"/>
        <charset val="1"/>
      </rPr>
      <t xml:space="preserve">40</t>
    </r>
    <r>
      <rPr>
        <sz val="9"/>
        <rFont val="Noto Sans CJK SC"/>
        <family val="2"/>
      </rPr>
      <t xml:space="preserve">개가 서고 그대로 산출까지 도달했습니다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규칙을 바꿔 살린 것이지 도면별 예외를 둔 것이 아니며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대명동은 같은 규칙에서 종전과 동일하게 </t>
    </r>
    <r>
      <rPr>
        <sz val="9"/>
        <rFont val="맑은 고딕"/>
        <family val="0"/>
        <charset val="1"/>
      </rPr>
      <t xml:space="preserve">87</t>
    </r>
    <r>
      <rPr>
        <sz val="9"/>
        <rFont val="Noto Sans CJK SC"/>
        <family val="2"/>
      </rPr>
      <t xml:space="preserve">개를 채택합니다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회귀 없음</t>
    </r>
    <r>
      <rPr>
        <sz val="9"/>
        <rFont val="맑은 고딕"/>
        <family val="0"/>
        <charset val="1"/>
      </rPr>
      <t xml:space="preserve">).</t>
    </r>
  </si>
  <si>
    <r>
      <rPr>
        <sz val="9"/>
        <rFont val="맑은 고딕"/>
        <family val="0"/>
        <charset val="1"/>
      </rPr>
      <t xml:space="preserve">※ B1F </t>
    </r>
    <r>
      <rPr>
        <sz val="9"/>
        <rFont val="Noto Sans CJK SC"/>
        <family val="2"/>
      </rPr>
      <t xml:space="preserve">확정 소요 </t>
    </r>
    <r>
      <rPr>
        <sz val="9"/>
        <rFont val="맑은 고딕"/>
        <family val="0"/>
        <charset val="1"/>
      </rPr>
      <t xml:space="preserve">1,420.9</t>
    </r>
    <r>
      <rPr>
        <sz val="9"/>
        <rFont val="Noto Sans CJK SC"/>
        <family val="2"/>
      </rPr>
      <t xml:space="preserve">초 </t>
    </r>
    <r>
      <rPr>
        <sz val="9"/>
        <rFont val="맑은 고딕"/>
        <family val="0"/>
        <charset val="1"/>
      </rPr>
      <t xml:space="preserve">/ 1,624.6</t>
    </r>
    <r>
      <rPr>
        <sz val="9"/>
        <rFont val="Noto Sans CJK SC"/>
        <family val="2"/>
      </rPr>
      <t xml:space="preserve">초는 성능 과제로 남아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완주 자체는 되나 한 바퀴에 </t>
    </r>
    <r>
      <rPr>
        <sz val="9"/>
        <rFont val="맑은 고딕"/>
        <family val="0"/>
        <charset val="1"/>
      </rPr>
      <t xml:space="preserve">51</t>
    </r>
    <r>
      <rPr>
        <sz val="9"/>
        <rFont val="Noto Sans CJK SC"/>
        <family val="2"/>
      </rPr>
      <t xml:space="preserve">분이 소요됩니다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</si>
  <si>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F-11d · </t>
    </r>
    <r>
      <rPr>
        <b val="true"/>
        <sz val="14"/>
        <rFont val="Noto Sans CJK SC"/>
        <family val="2"/>
      </rPr>
      <t xml:space="preserve">설계자 수정값의 재계산 생존 감사</t>
    </r>
  </si>
  <si>
    <r>
      <rPr>
        <sz val="9"/>
        <rFont val="Noto Sans CJK SC"/>
        <family val="2"/>
      </rPr>
      <t xml:space="preserve">설계자가 손으로 채운 값이 「다시 계산」 한 번에 다른 배관으로 옮겨 붙는지 먼저 감사하고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그 결과에 따라 저장 키를 이행했습니다</t>
    </r>
    <r>
      <rPr>
        <sz val="9"/>
        <rFont val="맑은 고딕"/>
        <family val="0"/>
        <charset val="1"/>
      </rPr>
      <t xml:space="preserve">. · </t>
    </r>
    <r>
      <rPr>
        <sz val="9"/>
        <rFont val="Noto Sans CJK SC"/>
        <family val="2"/>
      </rPr>
      <t xml:space="preserve">도구 </t>
    </r>
    <r>
      <rPr>
        <sz val="9"/>
        <rFont val="맑은 고딕"/>
        <family val="0"/>
        <charset val="1"/>
      </rPr>
      <t xml:space="preserve">scripts/_probe_f11d_keys.py · scripts/_probe_f11d_survive.py</t>
    </r>
  </si>
  <si>
    <r>
      <rPr>
        <b val="true"/>
        <sz val="11"/>
        <rFont val="Noto Sans CJK SC"/>
        <family val="2"/>
      </rPr>
      <t xml:space="preserve">① 키 안정성 감사 — 대명동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기준개수 </t>
    </r>
    <r>
      <rPr>
        <b val="true"/>
        <sz val="11"/>
        <rFont val="맑은 고딕"/>
        <family val="0"/>
        <charset val="1"/>
      </rPr>
      <t xml:space="preserve">K 30 → 20 (corridor </t>
    </r>
    <r>
      <rPr>
        <b val="true"/>
        <sz val="11"/>
        <rFont val="Noto Sans CJK SC"/>
        <family val="2"/>
      </rPr>
      <t xml:space="preserve">변경</t>
    </r>
    <r>
      <rPr>
        <b val="true"/>
        <sz val="11"/>
        <rFont val="맑은 고딕"/>
        <family val="0"/>
        <charset val="1"/>
      </rPr>
      <t xml:space="preserve">)</t>
    </r>
  </si>
  <si>
    <t xml:space="preserve">키 종류</t>
  </si>
  <si>
    <t xml:space="preserve">성격</t>
  </si>
  <si>
    <r>
      <rPr>
        <b val="true"/>
        <sz val="10"/>
        <rFont val="맑은 고딕"/>
        <family val="0"/>
        <charset val="1"/>
      </rPr>
      <t xml:space="preserve">K=30 </t>
    </r>
    <r>
      <rPr>
        <b val="true"/>
        <sz val="10"/>
        <rFont val="Noto Sans CJK SC"/>
        <family val="2"/>
      </rPr>
      <t xml:space="preserve">자리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</si>
  <si>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K=20 </t>
    </r>
    <r>
      <rPr>
        <b val="true"/>
        <sz val="10"/>
        <rFont val="Noto Sans CJK SC"/>
        <family val="2"/>
      </rPr>
      <t xml:space="preserve">에 남은 자리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</si>
  <si>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같은 곳을 그대로 가리킨 자리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</si>
  <si>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t xml:space="preserve">생존률</t>
  </si>
  <si>
    <r>
      <rPr>
        <sz val="10"/>
        <rFont val="Noto Sans CJK SC"/>
        <family val="2"/>
      </rPr>
      <t xml:space="preserve">배관 라벨 </t>
    </r>
    <r>
      <rPr>
        <sz val="10"/>
        <rFont val="맑은 고딕"/>
        <family val="0"/>
        <charset val="1"/>
      </rPr>
      <t xml:space="preserve">(P12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</si>
  <si>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제한 전개에서 </t>
    </r>
    <r>
      <rPr>
        <sz val="9"/>
        <rFont val="맑은 고딕"/>
        <family val="0"/>
        <charset val="1"/>
      </rPr>
      <t xml:space="preserve">BFS </t>
    </r>
    <r>
      <rPr>
        <sz val="9"/>
        <rFont val="Noto Sans CJK SC"/>
        <family val="2"/>
      </rPr>
      <t xml:space="preserve">순서로 재부여</t>
    </r>
  </si>
  <si>
    <r>
      <rPr>
        <sz val="10"/>
        <rFont val="맑은 고딕"/>
        <family val="0"/>
        <charset val="1"/>
      </rPr>
      <t xml:space="preserve">(node, pipe) — </t>
    </r>
    <r>
      <rPr>
        <sz val="10"/>
        <rFont val="Noto Sans CJK SC"/>
        <family val="2"/>
      </rPr>
      <t xml:space="preserve">종전 키</t>
    </r>
  </si>
  <si>
    <t xml:space="preserve">둘 다 제한 전개에서 새로 매겨지는 이름</t>
  </si>
  <si>
    <r>
      <rPr>
        <b val="true"/>
        <sz val="10"/>
        <rFont val="맑은 고딕"/>
        <family val="0"/>
        <charset val="1"/>
      </rPr>
      <t xml:space="preserve">★ board </t>
    </r>
    <r>
      <rPr>
        <b val="true"/>
        <sz val="10"/>
        <rFont val="Noto Sans CJK SC"/>
        <family val="2"/>
      </rPr>
      <t xml:space="preserve">노드쌍 — 안정 키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채택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</si>
  <si>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도면 간선으로 가리킴 </t>
    </r>
    <r>
      <rPr>
        <sz val="9"/>
        <rFont val="맑은 고딕"/>
        <family val="0"/>
        <charset val="1"/>
      </rPr>
      <t xml:space="preserve">· corridor </t>
    </r>
    <r>
      <rPr>
        <sz val="9"/>
        <rFont val="Noto Sans CJK SC"/>
        <family val="2"/>
      </rPr>
      <t xml:space="preserve">와 무관</t>
    </r>
  </si>
  <si>
    <r>
      <rPr>
        <sz val="9"/>
        <rFont val="Noto Sans CJK SC"/>
        <family val="2"/>
      </rPr>
      <t xml:space="preserve">※ 생존률의 분모는 </t>
    </r>
    <r>
      <rPr>
        <sz val="9"/>
        <rFont val="맑은 고딕"/>
        <family val="0"/>
        <charset val="1"/>
      </rPr>
      <t xml:space="preserve">«K=20 corridor </t>
    </r>
    <r>
      <rPr>
        <sz val="9"/>
        <rFont val="Noto Sans CJK SC"/>
        <family val="2"/>
      </rPr>
      <t xml:space="preserve">에도 남아 있는 자리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4 → 2 </t>
    </r>
    <r>
      <rPr>
        <sz val="9"/>
        <rFont val="Noto Sans CJK SC"/>
        <family val="2"/>
      </rPr>
      <t xml:space="preserve">감소는 나머지 둘이 </t>
    </r>
    <r>
      <rPr>
        <sz val="9"/>
        <rFont val="맑은 고딕"/>
        <family val="0"/>
        <charset val="1"/>
      </rPr>
      <t xml:space="preserve">corridor </t>
    </r>
    <r>
      <rPr>
        <sz val="9"/>
        <rFont val="Noto Sans CJK SC"/>
        <family val="2"/>
      </rPr>
      <t xml:space="preserve">에서 빠진 것이지 이름이 어긋난 것이 아니며</t>
    </r>
    <r>
      <rPr>
        <sz val="9"/>
        <rFont val="맑은 고딕"/>
        <family val="0"/>
        <charset val="1"/>
      </rPr>
      <t xml:space="preserve">, K 30 → 20 → 30 </t>
    </r>
    <r>
      <rPr>
        <sz val="9"/>
        <rFont val="Noto Sans CJK SC"/>
        <family val="2"/>
      </rPr>
      <t xml:space="preserve">으로 되돌리면 양쪽 다 완전 복원되므로 흔들림은 무작위가 아니라 </t>
    </r>
    <r>
      <rPr>
        <sz val="9"/>
        <rFont val="맑은 고딕"/>
        <family val="0"/>
        <charset val="1"/>
      </rPr>
      <t xml:space="preserve">corridor </t>
    </r>
    <r>
      <rPr>
        <sz val="9"/>
        <rFont val="Noto Sans CJK SC"/>
        <family val="2"/>
      </rPr>
      <t xml:space="preserve">에 대한 함수입니다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배관 라벨은 </t>
    </r>
    <r>
      <rPr>
        <sz val="9"/>
        <rFont val="맑은 고딕"/>
        <family val="0"/>
        <charset val="1"/>
      </rPr>
      <t xml:space="preserve">105</t>
    </r>
    <r>
      <rPr>
        <sz val="9"/>
        <rFont val="Noto Sans CJK SC"/>
        <family val="2"/>
      </rPr>
      <t xml:space="preserve">개 공통 자리가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전부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다른 배관을 가리키게 됩니다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</si>
  <si>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② 생존 실측 — 대명동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부속 </t>
    </r>
    <r>
      <rPr>
        <b val="true"/>
        <sz val="11"/>
        <rFont val="맑은 고딕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건 </t>
    </r>
    <r>
      <rPr>
        <b val="true"/>
        <sz val="11"/>
        <rFont val="맑은 고딕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관경 </t>
    </r>
    <r>
      <rPr>
        <b val="true"/>
        <sz val="11"/>
        <rFont val="맑은 고딕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건을 넣고 </t>
    </r>
    <r>
      <rPr>
        <b val="true"/>
        <sz val="11"/>
        <rFont val="맑은 고딕"/>
        <family val="0"/>
        <charset val="1"/>
      </rPr>
      <t xml:space="preserve">corridor </t>
    </r>
    <r>
      <rPr>
        <b val="true"/>
        <sz val="11"/>
        <rFont val="Noto Sans CJK SC"/>
        <family val="2"/>
      </rPr>
      <t xml:space="preserve">를 흔든 뒤 복귀</t>
    </r>
  </si>
  <si>
    <t xml:space="preserve">단계</t>
  </si>
  <si>
    <t xml:space="preserve">조작</t>
  </si>
  <si>
    <r>
      <rPr>
        <b val="true"/>
        <sz val="10"/>
        <rFont val="Noto Sans CJK SC"/>
        <family val="2"/>
      </rPr>
      <t xml:space="preserve">산출 </t>
    </r>
    <r>
      <rPr>
        <b val="true"/>
        <sz val="10"/>
        <rFont val="맑은 고딕"/>
        <family val="0"/>
        <charset val="1"/>
      </rPr>
      <t xml:space="preserve">meta </t>
    </r>
    <r>
      <rPr>
        <b val="true"/>
        <sz val="10"/>
        <rFont val="Noto Sans CJK SC"/>
        <family val="2"/>
      </rPr>
      <t xml:space="preserve">부속</t>
    </r>
  </si>
  <si>
    <r>
      <rPr>
        <b val="true"/>
        <sz val="10"/>
        <rFont val="Noto Sans CJK SC"/>
        <family val="2"/>
      </rPr>
      <t xml:space="preserve">산출 </t>
    </r>
    <r>
      <rPr>
        <b val="true"/>
        <sz val="10"/>
        <rFont val="맑은 고딕"/>
        <family val="0"/>
        <charset val="1"/>
      </rPr>
      <t xml:space="preserve">meta </t>
    </r>
    <r>
      <rPr>
        <b val="true"/>
        <sz val="10"/>
        <rFont val="Noto Sans CJK SC"/>
        <family val="2"/>
      </rPr>
      <t xml:space="preserve">관경</t>
    </r>
  </si>
  <si>
    <t xml:space="preserve">적용 못 함</t>
  </si>
  <si>
    <t xml:space="preserve">화면에 표시된 사유</t>
  </si>
  <si>
    <t xml:space="preserve">①</t>
  </si>
  <si>
    <r>
      <rPr>
        <sz val="9"/>
        <rFont val="Noto Sans CJK SC"/>
        <family val="2"/>
      </rPr>
      <t xml:space="preserve">덮기 — 부속 </t>
    </r>
    <r>
      <rPr>
        <sz val="9"/>
        <rFont val="맑은 고딕"/>
        <family val="0"/>
        <charset val="1"/>
      </rPr>
      <t xml:space="preserve">P12·</t>
    </r>
    <r>
      <rPr>
        <sz val="9"/>
        <rFont val="Noto Sans CJK SC"/>
        <family val="2"/>
      </rPr>
      <t xml:space="preserve">노드 </t>
    </r>
    <r>
      <rPr>
        <sz val="9"/>
        <rFont val="맑은 고딕"/>
        <family val="0"/>
        <charset val="1"/>
      </rPr>
      <t xml:space="preserve">N99 → </t>
    </r>
    <r>
      <rPr>
        <sz val="9"/>
        <rFont val="Noto Sans CJK SC"/>
        <family val="2"/>
      </rPr>
      <t xml:space="preserve">직선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관경 </t>
    </r>
    <r>
      <rPr>
        <sz val="9"/>
        <rFont val="맑은 고딕"/>
        <family val="0"/>
        <charset val="1"/>
      </rPr>
      <t xml:space="preserve">P285(</t>
    </r>
    <r>
      <rPr>
        <sz val="9"/>
        <rFont val="Noto Sans CJK SC"/>
        <family val="2"/>
      </rPr>
      <t xml:space="preserve">노드 </t>
    </r>
    <r>
      <rPr>
        <sz val="9"/>
        <rFont val="맑은 고딕"/>
        <family val="0"/>
        <charset val="1"/>
      </rPr>
      <t xml:space="preserve">1864–1865) 65A → 80A</t>
    </r>
  </si>
  <si>
    <r>
      <rPr>
        <sz val="9"/>
        <rFont val="Noto Sans CJK SC"/>
        <family val="2"/>
      </rPr>
      <t xml:space="preserve">안정 키 부여 </t>
    </r>
    <r>
      <rPr>
        <sz val="9"/>
        <rFont val="맑은 고딕"/>
        <family val="0"/>
        <charset val="1"/>
      </rPr>
      <t xml:space="preserve">(a=216 b=217 nx=21.5 ny=5.0)</t>
    </r>
  </si>
  <si>
    <t xml:space="preserve">②</t>
  </si>
  <si>
    <r>
      <rPr>
        <sz val="9"/>
        <rFont val="Noto Sans CJK SC"/>
        <family val="2"/>
      </rPr>
      <t xml:space="preserve">재확정 </t>
    </r>
    <r>
      <rPr>
        <sz val="9"/>
        <rFont val="맑은 고딕"/>
        <family val="0"/>
        <charset val="1"/>
      </rPr>
      <t xml:space="preserve">(K=30)</t>
    </r>
  </si>
  <si>
    <t xml:space="preserve">③</t>
  </si>
  <si>
    <r>
      <rPr>
        <sz val="9"/>
        <rFont val="Noto Sans CJK SC"/>
        <family val="2"/>
      </rPr>
      <t xml:space="preserve">기준개수 </t>
    </r>
    <r>
      <rPr>
        <sz val="9"/>
        <rFont val="맑은 고딕"/>
        <family val="0"/>
        <charset val="1"/>
      </rPr>
      <t xml:space="preserve">K = 20 (corridor </t>
    </r>
    <r>
      <rPr>
        <sz val="9"/>
        <rFont val="Noto Sans CJK SC"/>
        <family val="2"/>
      </rPr>
      <t xml:space="preserve">변경</t>
    </r>
    <r>
      <rPr>
        <sz val="9"/>
        <rFont val="맑은 고딕"/>
        <family val="0"/>
        <charset val="1"/>
      </rPr>
      <t xml:space="preserve">)</t>
    </r>
  </si>
  <si>
    <t xml:space="preserve">★「그 자리가 이번 계산 범위에 없습니다」 — 조용히 사라지지 않음</t>
  </si>
  <si>
    <t xml:space="preserve">④</t>
  </si>
  <si>
    <r>
      <rPr>
        <sz val="9"/>
        <rFont val="Noto Sans CJK SC"/>
        <family val="2"/>
      </rPr>
      <t xml:space="preserve">기준개수 </t>
    </r>
    <r>
      <rPr>
        <sz val="9"/>
        <rFont val="맑은 고딕"/>
        <family val="0"/>
        <charset val="1"/>
      </rPr>
      <t xml:space="preserve">K = 30 </t>
    </r>
    <r>
      <rPr>
        <sz val="9"/>
        <rFont val="Noto Sans CJK SC"/>
        <family val="2"/>
      </rPr>
      <t xml:space="preserve">복귀</t>
    </r>
  </si>
  <si>
    <r>
      <rPr>
        <sz val="9"/>
        <rFont val="Noto Sans CJK SC"/>
        <family val="2"/>
      </rPr>
      <t xml:space="preserve">관경 </t>
    </r>
    <r>
      <rPr>
        <sz val="9"/>
        <rFont val="맑은 고딕"/>
        <family val="0"/>
        <charset val="1"/>
      </rPr>
      <t xml:space="preserve">80A (</t>
    </r>
    <r>
      <rPr>
        <sz val="9"/>
        <rFont val="Noto Sans CJK SC"/>
        <family val="2"/>
      </rPr>
      <t xml:space="preserve">원래 </t>
    </r>
    <r>
      <rPr>
        <sz val="9"/>
        <rFont val="맑은 고딕"/>
        <family val="0"/>
        <charset val="1"/>
      </rPr>
      <t xml:space="preserve">65A[text]) · </t>
    </r>
    <r>
      <rPr>
        <sz val="9"/>
        <rFont val="Noto Sans CJK SC"/>
        <family val="2"/>
      </rPr>
      <t xml:space="preserve">사유 「협의 변경」 그대로</t>
    </r>
  </si>
  <si>
    <r>
      <rPr>
        <sz val="9"/>
        <rFont val="Noto Sans CJK SC"/>
        <family val="2"/>
      </rPr>
      <t xml:space="preserve">★ 이행이 고친 것은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개수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가 아니라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사유 문장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종전 키에서는 같은 시나리오에서 「그 자리는 이제 판정 불가가 아닙니다 — 자동이 답을 냈습니다」라고 표시됐는데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실제로는 종전 키 </t>
    </r>
    <r>
      <rPr>
        <sz val="9"/>
        <rFont val="맑은 고딕"/>
        <family val="0"/>
        <charset val="1"/>
      </rPr>
      <t xml:space="preserve">P12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K=20 corridor </t>
    </r>
    <r>
      <rPr>
        <sz val="9"/>
        <rFont val="Noto Sans CJK SC"/>
        <family val="2"/>
      </rPr>
      <t xml:space="preserve">에서 다른 배관을 가리켜 엔진이 남의 배관에 대해 답한 것이었습니다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개수가 맞아떨어져 더 위험했습니다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</si>
  <si>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③ 이 커밋이 </t>
    </r>
    <r>
      <rPr>
        <b val="true"/>
        <sz val="11"/>
        <rFont val="맑은 고딕"/>
        <family val="0"/>
        <charset val="1"/>
      </rPr>
      <t xml:space="preserve">«</t>
    </r>
    <r>
      <rPr>
        <b val="true"/>
        <sz val="11"/>
        <rFont val="Noto Sans CJK SC"/>
        <family val="2"/>
      </rPr>
      <t xml:space="preserve">재지 않은</t>
    </r>
    <r>
      <rPr>
        <b val="true"/>
        <sz val="11"/>
        <rFont val="맑은 고딕"/>
        <family val="0"/>
        <charset val="1"/>
      </rPr>
      <t xml:space="preserve">» </t>
    </r>
    <r>
      <rPr>
        <b val="true"/>
        <sz val="11"/>
        <rFont val="Noto Sans CJK SC"/>
        <family val="2"/>
      </rPr>
      <t xml:space="preserve">것 — 기록</t>
    </r>
  </si>
  <si>
    <r>
      <rPr>
        <sz val="9"/>
        <rFont val="맑은 고딕"/>
        <family val="0"/>
        <charset val="1"/>
      </rPr>
      <t xml:space="preserve">· corridor </t>
    </r>
    <r>
      <rPr>
        <sz val="9"/>
        <rFont val="Noto Sans CJK SC"/>
        <family val="2"/>
      </rPr>
      <t xml:space="preserve">를 바꾸는 수단으로 기준개수 </t>
    </r>
    <r>
      <rPr>
        <sz val="9"/>
        <rFont val="맑은 고딕"/>
        <family val="0"/>
        <charset val="1"/>
      </rPr>
      <t xml:space="preserve">K </t>
    </r>
    <r>
      <rPr>
        <sz val="9"/>
        <rFont val="Noto Sans CJK SC"/>
        <family val="2"/>
      </rPr>
      <t xml:space="preserve">만 사용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배관 살리기</t>
    </r>
    <r>
      <rPr>
        <sz val="9"/>
        <rFont val="맑은 고딕"/>
        <family val="0"/>
        <charset val="1"/>
      </rPr>
      <t xml:space="preserve">(JOIN)·</t>
    </r>
    <r>
      <rPr>
        <sz val="9"/>
        <rFont val="Noto Sans CJK SC"/>
        <family val="2"/>
      </rPr>
      <t xml:space="preserve">앵커 이동도 </t>
    </r>
    <r>
      <rPr>
        <sz val="9"/>
        <rFont val="맑은 고딕"/>
        <family val="0"/>
        <charset val="1"/>
      </rPr>
      <t xml:space="preserve">corridor </t>
    </r>
    <r>
      <rPr>
        <sz val="9"/>
        <rFont val="Noto Sans CJK SC"/>
        <family val="2"/>
      </rPr>
      <t xml:space="preserve">를 바꾸므로 같은 결론일 것으로 보나 실측한 것은 아님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</si>
  <si>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등가길이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종류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호칭경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는 원래 </t>
    </r>
    <r>
      <rPr>
        <sz val="9"/>
        <rFont val="맑은 고딕"/>
        <family val="0"/>
        <charset val="1"/>
      </rPr>
      <t xml:space="preserve">corridor </t>
    </r>
    <r>
      <rPr>
        <sz val="9"/>
        <rFont val="Noto Sans CJK SC"/>
        <family val="2"/>
      </rPr>
      <t xml:space="preserve">와 무관해 이행 불필요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실측에서도 </t>
    </r>
    <r>
      <rPr>
        <sz val="9"/>
        <rFont val="맑은 고딕"/>
        <family val="0"/>
        <charset val="1"/>
      </rPr>
      <t xml:space="preserve">K 30→20→30 </t>
    </r>
    <r>
      <rPr>
        <sz val="9"/>
        <rFont val="Noto Sans CJK SC"/>
        <family val="2"/>
      </rPr>
      <t xml:space="preserve">내내 그대로였음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</si>
  <si>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역참조가 없는 배관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헤드 접속관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가지 상승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board </t>
    </r>
    <r>
      <rPr>
        <sz val="9"/>
        <rFont val="Noto Sans CJK SC"/>
        <family val="2"/>
      </rPr>
      <t xml:space="preserve">간선이 없어 안정 키를 만들 수 없어 종전 키로 남기고 그 사실을 로그에 기록 </t>
    </r>
    <r>
      <rPr>
        <sz val="9"/>
        <rFont val="맑은 고딕"/>
        <family val="0"/>
        <charset val="1"/>
      </rPr>
      <t xml:space="preserve">(BLOCKED §19).</t>
    </r>
  </si>
  <si>
    <r>
      <rPr>
        <b val="true"/>
        <sz val="14"/>
        <rFont val="맑은 고딕"/>
        <family val="0"/>
        <charset val="1"/>
      </rPr>
      <t xml:space="preserve">BLOCKED §27 · </t>
    </r>
    <r>
      <rPr>
        <b val="true"/>
        <sz val="14"/>
        <rFont val="Noto Sans CJK SC"/>
        <family val="2"/>
      </rPr>
      <t xml:space="preserve">계통도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기계실 인식 불가 — 레이어 분류 뒤집힘</t>
    </r>
  </si>
  <si>
    <r>
      <rPr>
        <sz val="9"/>
        <rFont val="Noto Sans CJK SC"/>
        <family val="2"/>
      </rPr>
      <t xml:space="preserve">현장 보고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「대명동 계통도를 넣었는데 인식도 경로 추출도 안 된다」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의 원인을 레이어별 분리 렌더링으로 확정했습니다</t>
    </r>
    <r>
      <rPr>
        <sz val="9"/>
        <rFont val="맑은 고딕"/>
        <family val="0"/>
        <charset val="1"/>
      </rPr>
      <t xml:space="preserve">. · </t>
    </r>
    <r>
      <rPr>
        <sz val="9"/>
        <rFont val="Noto Sans CJK SC"/>
        <family val="2"/>
      </rPr>
      <t xml:space="preserve">도구 </t>
    </r>
    <r>
      <rPr>
        <sz val="9"/>
        <rFont val="맑은 고딕"/>
        <family val="0"/>
        <charset val="1"/>
      </rPr>
      <t xml:space="preserve">_probe_riser_mr_view.py --split · _probe_riser_layer_role.py</t>
    </r>
  </si>
  <si>
    <r>
      <rPr>
        <b val="true"/>
        <sz val="11"/>
        <rFont val="Noto Sans CJK SC"/>
        <family val="2"/>
      </rPr>
      <t xml:space="preserve">① 원인 — 이름 사전이 정반대로 읽는다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대명동 계통도</t>
    </r>
    <r>
      <rPr>
        <b val="true"/>
        <sz val="11"/>
        <rFont val="맑은 고딕"/>
        <family val="0"/>
        <charset val="1"/>
      </rPr>
      <t xml:space="preserve">)</t>
    </r>
  </si>
  <si>
    <t xml:space="preserve">레이어</t>
  </si>
  <si>
    <t xml:space="preserve">이름 사전 분류</t>
  </si>
  <si>
    <t xml:space="preserve">실제 역할</t>
  </si>
  <si>
    <t xml:space="preserve">개수</t>
  </si>
  <si>
    <t xml:space="preserve">형상 근거</t>
  </si>
  <si>
    <t xml:space="preserve">증상</t>
  </si>
  <si>
    <t xml:space="preserve">SP</t>
  </si>
  <si>
    <r>
      <rPr>
        <b val="true"/>
        <sz val="10"/>
        <rFont val="맑은 고딕"/>
        <family val="0"/>
        <charset val="1"/>
      </rPr>
      <t xml:space="preserve">PIPE (</t>
    </r>
    <r>
      <rPr>
        <b val="true"/>
        <sz val="10"/>
        <rFont val="Noto Sans CJK SC"/>
        <family val="2"/>
      </rPr>
      <t xml:space="preserve">오분류</t>
    </r>
    <r>
      <rPr>
        <b val="true"/>
        <sz val="10"/>
        <rFont val="맑은 고딕"/>
        <family val="0"/>
        <charset val="1"/>
      </rPr>
      <t xml:space="preserve">)</t>
    </r>
  </si>
  <si>
    <t xml:space="preserve">스프링클러 헤드 기호</t>
  </si>
  <si>
    <r>
      <rPr>
        <sz val="10"/>
        <rFont val="맑은 고딕"/>
        <family val="0"/>
        <charset val="1"/>
      </rPr>
      <t xml:space="preserve">918</t>
    </r>
    <r>
      <rPr>
        <sz val="10"/>
        <rFont val="Noto Sans CJK SC"/>
        <family val="2"/>
      </rPr>
      <t xml:space="preserve">개</t>
    </r>
  </si>
  <si>
    <r>
      <rPr>
        <sz val="9"/>
        <rFont val="맑은 고딕"/>
        <family val="0"/>
        <charset val="1"/>
      </rPr>
      <t xml:space="preserve">100% </t>
    </r>
    <r>
      <rPr>
        <sz val="9"/>
        <rFont val="Noto Sans CJK SC"/>
        <family val="2"/>
      </rPr>
      <t xml:space="preserve">닫힌 </t>
    </r>
    <r>
      <rPr>
        <sz val="9"/>
        <rFont val="맑은 고딕"/>
        <family val="0"/>
        <charset val="1"/>
      </rPr>
      <t xml:space="preserve">PL · </t>
    </r>
    <r>
      <rPr>
        <sz val="9"/>
        <rFont val="Noto Sans CJK SC"/>
        <family val="2"/>
      </rPr>
      <t xml:space="preserve">지름 </t>
    </r>
    <r>
      <rPr>
        <sz val="9"/>
        <rFont val="맑은 고딕"/>
        <family val="0"/>
        <charset val="1"/>
      </rPr>
      <t xml:space="preserve">282mm</t>
    </r>
  </si>
  <si>
    <t xml:space="preserve">진짜 헤드가 배관 레이어에 있어 검출기가 보지 못함</t>
  </si>
  <si>
    <t xml:space="preserve">0</t>
  </si>
  <si>
    <r>
      <rPr>
        <b val="true"/>
        <sz val="10"/>
        <rFont val="맑은 고딕"/>
        <family val="0"/>
        <charset val="1"/>
      </rPr>
      <t xml:space="preserve">OTHER (</t>
    </r>
    <r>
      <rPr>
        <b val="true"/>
        <sz val="10"/>
        <rFont val="Noto Sans CJK SC"/>
        <family val="2"/>
      </rPr>
      <t xml:space="preserve">오분류</t>
    </r>
    <r>
      <rPr>
        <b val="true"/>
        <sz val="10"/>
        <rFont val="맑은 고딕"/>
        <family val="0"/>
        <charset val="1"/>
      </rPr>
      <t xml:space="preserve">)</t>
    </r>
  </si>
  <si>
    <t xml:space="preserve">실제 배관</t>
  </si>
  <si>
    <r>
      <rPr>
        <sz val="9"/>
        <rFont val="Noto Sans CJK SC"/>
        <family val="2"/>
      </rPr>
      <t xml:space="preserve">긴 선분 </t>
    </r>
    <r>
      <rPr>
        <sz val="9"/>
        <rFont val="맑은 고딕"/>
        <family val="0"/>
        <charset val="1"/>
      </rPr>
      <t xml:space="preserve">64% · </t>
    </r>
    <r>
      <rPr>
        <sz val="9"/>
        <rFont val="Noto Sans CJK SC"/>
        <family val="2"/>
      </rPr>
      <t xml:space="preserve">중앙값 </t>
    </r>
    <r>
      <rPr>
        <sz val="9"/>
        <rFont val="맑은 고딕"/>
        <family val="0"/>
        <charset val="1"/>
      </rPr>
      <t xml:space="preserve">630mm</t>
    </r>
  </si>
  <si>
    <t xml:space="preserve">배관이 그래프에서 통째로 빠짐</t>
  </si>
  <si>
    <t xml:space="preserve">105-2</t>
  </si>
  <si>
    <t xml:space="preserve">OTHER</t>
  </si>
  <si>
    <r>
      <rPr>
        <sz val="10"/>
        <rFont val="Noto Sans CJK SC"/>
        <family val="2"/>
      </rPr>
      <t xml:space="preserve">작은 삼각형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헤드 아님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</si>
  <si>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224</t>
    </r>
    <r>
      <rPr>
        <sz val="10"/>
        <rFont val="Noto Sans CJK SC"/>
        <family val="2"/>
      </rPr>
      <t xml:space="preserve">개</t>
    </r>
  </si>
  <si>
    <r>
      <rPr>
        <sz val="9"/>
        <rFont val="Noto Sans CJK SC"/>
        <family val="2"/>
      </rPr>
      <t xml:space="preserve">헤드 후보로 잘못 잡혀 높음 띠 </t>
    </r>
    <r>
      <rPr>
        <sz val="9"/>
        <rFont val="맑은 고딕"/>
        <family val="0"/>
        <charset val="1"/>
      </rPr>
      <t xml:space="preserve">0 · </t>
    </r>
    <r>
      <rPr>
        <sz val="9"/>
        <rFont val="Noto Sans CJK SC"/>
        <family val="2"/>
      </rPr>
      <t xml:space="preserve">채택 예정 </t>
    </r>
    <r>
      <rPr>
        <sz val="9"/>
        <rFont val="맑은 고딕"/>
        <family val="0"/>
        <charset val="1"/>
      </rPr>
      <t xml:space="preserve">93</t>
    </r>
    <r>
      <rPr>
        <sz val="9"/>
        <rFont val="Noto Sans CJK SC"/>
        <family val="2"/>
      </rPr>
      <t xml:space="preserve">개가 전부 헤드가 아님</t>
    </r>
  </si>
  <si>
    <r>
      <rPr>
        <sz val="9"/>
        <rFont val="Noto Sans CJK SC"/>
        <family val="2"/>
      </rPr>
      <t xml:space="preserve">결과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그래프가 헤드 삼각형으로 세워지고 닫힌 </t>
    </r>
    <r>
      <rPr>
        <sz val="9"/>
        <rFont val="맑은 고딕"/>
        <family val="0"/>
        <charset val="1"/>
      </rPr>
      <t xml:space="preserve">PL </t>
    </r>
    <r>
      <rPr>
        <sz val="9"/>
        <rFont val="Noto Sans CJK SC"/>
        <family val="2"/>
      </rPr>
      <t xml:space="preserve">은 배관 필터가 걸러 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남는 것은 </t>
    </r>
    <r>
      <rPr>
        <sz val="9"/>
        <rFont val="맑은 고딕"/>
        <family val="0"/>
        <charset val="1"/>
      </rPr>
      <t xml:space="preserve">183 entity → 240</t>
    </r>
    <r>
      <rPr>
        <sz val="9"/>
        <rFont val="Noto Sans CJK SC"/>
        <family val="2"/>
      </rPr>
      <t xml:space="preserve">노드 </t>
    </r>
    <r>
      <rPr>
        <sz val="9"/>
        <rFont val="맑은 고딕"/>
        <family val="0"/>
        <charset val="1"/>
      </rPr>
      <t xml:space="preserve">· 63</t>
    </r>
    <r>
      <rPr>
        <sz val="9"/>
        <rFont val="Noto Sans CJK SC"/>
        <family val="2"/>
      </rPr>
      <t xml:space="preserve">조각 </t>
    </r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가장 큰 덩이 </t>
    </r>
    <r>
      <rPr>
        <sz val="9"/>
        <rFont val="맑은 고딕"/>
        <family val="0"/>
        <charset val="1"/>
      </rPr>
      <t xml:space="preserve">21%. </t>
    </r>
    <r>
      <rPr>
        <sz val="9"/>
        <rFont val="Noto Sans CJK SC"/>
        <family val="2"/>
      </rPr>
      <t xml:space="preserve">기계실은 헤드 후보 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개가 전부 낮음 띠라 규칙이 </t>
    </r>
    <r>
      <rPr>
        <sz val="9"/>
        <rFont val="맑은 고딕"/>
        <family val="0"/>
        <charset val="1"/>
      </rPr>
      <t xml:space="preserve">none </t>
    </r>
    <r>
      <rPr>
        <sz val="9"/>
        <rFont val="Noto Sans CJK SC"/>
        <family val="2"/>
      </rPr>
      <t xml:space="preserve">을 내고 자동 흐름이 게이트에 막히는데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기계실엔 헤드가 없으므로 이는 올바른 동작입니다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</si>
  <si>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② 자동 판정을 </t>
    </r>
    <r>
      <rPr>
        <b val="true"/>
        <sz val="11"/>
        <rFont val="맑은 고딕"/>
        <family val="0"/>
        <charset val="1"/>
      </rPr>
      <t xml:space="preserve">«</t>
    </r>
    <r>
      <rPr>
        <b val="true"/>
        <sz val="11"/>
        <rFont val="Noto Sans CJK SC"/>
        <family val="2"/>
      </rPr>
      <t xml:space="preserve">만들려다 계측이 막은</t>
    </r>
    <r>
      <rPr>
        <b val="true"/>
        <sz val="11"/>
        <rFont val="맑은 고딕"/>
        <family val="0"/>
        <charset val="1"/>
      </rPr>
      <t xml:space="preserve">» </t>
    </r>
    <r>
      <rPr>
        <b val="true"/>
        <sz val="11"/>
        <rFont val="Noto Sans CJK SC"/>
        <family val="2"/>
      </rPr>
      <t xml:space="preserve">지표 두 가지</t>
    </r>
  </si>
  <si>
    <t xml:space="preserve">지표</t>
  </si>
  <si>
    <t xml:space="preserve">대상</t>
  </si>
  <si>
    <t xml:space="preserve">측정값</t>
  </si>
  <si>
    <t xml:space="preserve">기대</t>
  </si>
  <si>
    <t xml:space="preserve">실제</t>
  </si>
  <si>
    <t xml:space="preserve">판정</t>
  </si>
  <si>
    <t xml:space="preserve">선분 길이</t>
  </si>
  <si>
    <r>
      <rPr>
        <sz val="9"/>
        <rFont val="Noto Sans CJK SC"/>
        <family val="2"/>
      </rPr>
      <t xml:space="preserve">대명동 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소화</t>
    </r>
    <r>
      <rPr>
        <sz val="9"/>
        <rFont val="맑은 고딕"/>
        <family val="0"/>
        <charset val="1"/>
      </rPr>
      <t xml:space="preserve">(SP</t>
    </r>
    <r>
      <rPr>
        <sz val="9"/>
        <rFont val="Noto Sans CJK SC"/>
        <family val="2"/>
      </rPr>
      <t xml:space="preserve">가지관</t>
    </r>
    <r>
      <rPr>
        <sz val="9"/>
        <rFont val="맑은 고딕"/>
        <family val="0"/>
        <charset val="1"/>
      </rPr>
      <t xml:space="preserve">) [</t>
    </r>
    <r>
      <rPr>
        <sz val="9"/>
        <rFont val="Noto Sans CJK SC"/>
        <family val="2"/>
      </rPr>
      <t xml:space="preserve">평면도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</si>
  <si>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긴 선분 </t>
    </r>
    <r>
      <rPr>
        <sz val="9"/>
        <rFont val="맑은 고딕"/>
        <family val="0"/>
        <charset val="1"/>
      </rPr>
      <t xml:space="preserve">10% · </t>
    </r>
    <r>
      <rPr>
        <sz val="9"/>
        <rFont val="Noto Sans CJK SC"/>
        <family val="2"/>
      </rPr>
      <t xml:space="preserve">중앙값 </t>
    </r>
    <r>
      <rPr>
        <sz val="9"/>
        <rFont val="맑은 고딕"/>
        <family val="0"/>
        <charset val="1"/>
      </rPr>
      <t xml:space="preserve">70mm</t>
    </r>
  </si>
  <si>
    <t xml:space="preserve">배관</t>
  </si>
  <si>
    <t xml:space="preserve">짧음</t>
  </si>
  <si>
    <t xml:space="preserve">불일치</t>
  </si>
  <si>
    <r>
      <rPr>
        <sz val="9"/>
        <rFont val="Noto Sans CJK SC"/>
        <family val="2"/>
      </rPr>
      <t xml:space="preserve">대명동 </t>
    </r>
    <r>
      <rPr>
        <sz val="9"/>
        <rFont val="맑은 고딕"/>
        <family val="0"/>
        <charset val="1"/>
      </rPr>
      <t xml:space="preserve">SP </t>
    </r>
    <r>
      <rPr>
        <sz val="9"/>
        <rFont val="Noto Sans CJK SC"/>
        <family val="2"/>
      </rPr>
      <t xml:space="preserve">후렉시블 </t>
    </r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평면도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</si>
  <si>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긴 선분 </t>
    </r>
    <r>
      <rPr>
        <sz val="9"/>
        <rFont val="맑은 고딕"/>
        <family val="0"/>
        <charset val="1"/>
      </rPr>
      <t xml:space="preserve">0% · </t>
    </r>
    <r>
      <rPr>
        <sz val="9"/>
        <rFont val="Noto Sans CJK SC"/>
        <family val="2"/>
      </rPr>
      <t xml:space="preserve">중앙값 </t>
    </r>
    <r>
      <rPr>
        <sz val="9"/>
        <rFont val="맑은 고딕"/>
        <family val="0"/>
        <charset val="1"/>
      </rPr>
      <t xml:space="preserve">141mm</t>
    </r>
  </si>
  <si>
    <r>
      <rPr>
        <sz val="9"/>
        <rFont val="맑은 고딕"/>
        <family val="0"/>
        <charset val="1"/>
      </rPr>
      <t xml:space="preserve">LH306 pipe [</t>
    </r>
    <r>
      <rPr>
        <sz val="9"/>
        <rFont val="Noto Sans CJK SC"/>
        <family val="2"/>
      </rPr>
      <t xml:space="preserve">평면도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</si>
  <si>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긴 선분 </t>
    </r>
    <r>
      <rPr>
        <sz val="9"/>
        <rFont val="맑은 고딕"/>
        <family val="0"/>
        <charset val="1"/>
      </rPr>
      <t xml:space="preserve">18% · </t>
    </r>
    <r>
      <rPr>
        <sz val="9"/>
        <rFont val="Noto Sans CJK SC"/>
        <family val="2"/>
      </rPr>
      <t xml:space="preserve">중앙값 </t>
    </r>
    <r>
      <rPr>
        <sz val="9"/>
        <rFont val="맑은 고딕"/>
        <family val="0"/>
        <charset val="1"/>
      </rPr>
      <t xml:space="preserve">100mm</t>
    </r>
  </si>
  <si>
    <r>
      <rPr>
        <sz val="9"/>
        <rFont val="Noto Sans CJK SC"/>
        <family val="2"/>
      </rPr>
      <t xml:space="preserve">계통도 </t>
    </r>
    <r>
      <rPr>
        <sz val="9"/>
        <rFont val="맑은 고딕"/>
        <family val="0"/>
        <charset val="1"/>
      </rPr>
      <t xml:space="preserve">4 (</t>
    </r>
    <r>
      <rPr>
        <sz val="9"/>
        <rFont val="Noto Sans CJK SC"/>
        <family val="2"/>
      </rPr>
      <t xml:space="preserve">층 구획선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</si>
  <si>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긴 선분 </t>
    </r>
    <r>
      <rPr>
        <sz val="9"/>
        <rFont val="맑은 고딕"/>
        <family val="0"/>
        <charset val="1"/>
      </rPr>
      <t xml:space="preserve">100% · </t>
    </r>
    <r>
      <rPr>
        <sz val="9"/>
        <rFont val="Noto Sans CJK SC"/>
        <family val="2"/>
      </rPr>
      <t xml:space="preserve">중앙값 </t>
    </r>
    <r>
      <rPr>
        <sz val="9"/>
        <rFont val="맑은 고딕"/>
        <family val="0"/>
        <charset val="1"/>
      </rPr>
      <t xml:space="preserve">2,100mm</t>
    </r>
  </si>
  <si>
    <t xml:space="preserve">배관 아님</t>
  </si>
  <si>
    <t xml:space="preserve">가장 김</t>
  </si>
  <si>
    <t xml:space="preserve">연결성 접점</t>
  </si>
  <si>
    <r>
      <rPr>
        <sz val="9"/>
        <rFont val="Noto Sans CJK SC"/>
        <family val="2"/>
      </rPr>
      <t xml:space="preserve">대명동 — 뺀 배관 되찾기 </t>
    </r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평면도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</si>
  <si>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접점 </t>
    </r>
    <r>
      <rPr>
        <sz val="9"/>
        <rFont val="맑은 고딕"/>
        <family val="0"/>
        <charset val="1"/>
      </rPr>
      <t xml:space="preserve">16% (</t>
    </r>
    <r>
      <rPr>
        <sz val="9"/>
        <rFont val="Noto Sans CJK SC"/>
        <family val="2"/>
      </rPr>
      <t xml:space="preserve">다음 </t>
    </r>
    <r>
      <rPr>
        <sz val="9"/>
        <rFont val="맑은 고딕"/>
        <family val="0"/>
        <charset val="1"/>
      </rPr>
      <t xml:space="preserve">4%)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</si>
  <si>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위</t>
    </r>
  </si>
  <si>
    <t xml:space="preserve">일치</t>
  </si>
  <si>
    <t xml:space="preserve">기계실 — 뺀 배관 되찾기</t>
  </si>
  <si>
    <r>
      <rPr>
        <sz val="9"/>
        <rFont val="Noto Sans CJK SC"/>
        <family val="2"/>
      </rPr>
      <t xml:space="preserve">접점 </t>
    </r>
    <r>
      <rPr>
        <sz val="9"/>
        <rFont val="맑은 고딕"/>
        <family val="0"/>
        <charset val="1"/>
      </rPr>
      <t xml:space="preserve">0</t>
    </r>
  </si>
  <si>
    <r>
      <rPr>
        <sz val="9"/>
        <rFont val="맑은 고딕"/>
        <family val="0"/>
        <charset val="1"/>
      </rPr>
      <t xml:space="preserve">9</t>
    </r>
    <r>
      <rPr>
        <sz val="9"/>
        <rFont val="Noto Sans CJK SC"/>
        <family val="2"/>
      </rPr>
      <t xml:space="preserve">위 </t>
    </r>
    <r>
      <rPr>
        <sz val="9"/>
        <rFont val="맑은 고딕"/>
        <family val="0"/>
        <charset val="1"/>
      </rPr>
      <t xml:space="preserve">(8</t>
    </r>
    <r>
      <rPr>
        <sz val="9"/>
        <rFont val="Noto Sans CJK SC"/>
        <family val="2"/>
      </rPr>
      <t xml:space="preserve">위 밖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</si>
  <si>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계통도 — 진짜 입상관 </t>
    </r>
    <r>
      <rPr>
        <sz val="9"/>
        <rFont val="맑은 고딕"/>
        <family val="0"/>
        <charset val="1"/>
      </rPr>
      <t xml:space="preserve">'0'</t>
    </r>
  </si>
  <si>
    <r>
      <rPr>
        <sz val="9"/>
        <rFont val="맑은 고딕"/>
        <family val="0"/>
        <charset val="1"/>
      </rPr>
      <t xml:space="preserve">FF 351</t>
    </r>
    <r>
      <rPr>
        <sz val="9"/>
        <rFont val="Noto Sans CJK SC"/>
        <family val="2"/>
      </rPr>
      <t xml:space="preserve">접점 </t>
    </r>
    <r>
      <rPr>
        <sz val="9"/>
        <rFont val="맑은 고딕"/>
        <family val="0"/>
        <charset val="1"/>
      </rPr>
      <t xml:space="preserve">/ '0' 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접점</t>
    </r>
  </si>
  <si>
    <t xml:space="preserve">절반만 맞음</t>
  </si>
  <si>
    <t xml:space="preserve">부분</t>
  </si>
  <si>
    <r>
      <rPr>
        <sz val="9"/>
        <rFont val="Noto Sans CJK SC"/>
        <family val="2"/>
      </rPr>
      <t xml:space="preserve">★ 두 지표 모두 채택하지 않았습니다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평면도 배관은 부속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꺾임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가지 때문에 짧은 선분이 대부분이라 「길면 배관」은 격자선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표제란을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등으로 올리고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연결성 접점은 세 도면 중 기계실에서 조용히 틀립니다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고층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저층 존과 위생 배관이 서로 안 닿는 별개 레이어로 그려짐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이름 사전이 이미 틀린 자리에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틀린 확신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을 하나 더 얹지 않기 위해 판정을 붙이지 않았습니다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</si>
  <si>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③ 그래서 한 것 — 찍기 화면 재료 묶음에 </t>
    </r>
    <r>
      <rPr>
        <b val="true"/>
        <sz val="11"/>
        <rFont val="맑은 고딕"/>
        <family val="0"/>
        <charset val="1"/>
      </rPr>
      <t xml:space="preserve">«</t>
    </r>
    <r>
      <rPr>
        <b val="true"/>
        <sz val="11"/>
        <rFont val="Noto Sans CJK SC"/>
        <family val="2"/>
      </rPr>
      <t xml:space="preserve">잰 값</t>
    </r>
    <r>
      <rPr>
        <b val="true"/>
        <sz val="11"/>
        <rFont val="맑은 고딕"/>
        <family val="0"/>
        <charset val="1"/>
      </rPr>
      <t xml:space="preserve">» </t>
    </r>
    <r>
      <rPr>
        <b val="true"/>
        <sz val="11"/>
        <rFont val="Noto Sans CJK SC"/>
        <family val="2"/>
      </rPr>
      <t xml:space="preserve">만 표기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대명동 계통도</t>
    </r>
    <r>
      <rPr>
        <b val="true"/>
        <sz val="11"/>
        <rFont val="맑은 고딕"/>
        <family val="0"/>
        <charset val="1"/>
      </rPr>
      <t xml:space="preserve">)</t>
    </r>
  </si>
  <si>
    <t xml:space="preserve">색</t>
  </si>
  <si>
    <t xml:space="preserve">선분 수</t>
  </si>
  <si>
    <r>
      <rPr>
        <b val="true"/>
        <sz val="10"/>
        <rFont val="Noto Sans CJK SC"/>
        <family val="2"/>
      </rPr>
      <t xml:space="preserve">총 연장 </t>
    </r>
    <r>
      <rPr>
        <b val="true"/>
        <sz val="10"/>
        <rFont val="맑은 고딕"/>
        <family val="0"/>
        <charset val="1"/>
      </rPr>
      <t xml:space="preserve">(m)</t>
    </r>
  </si>
  <si>
    <r>
      <rPr>
        <b val="true"/>
        <sz val="10"/>
        <rFont val="Noto Sans CJK SC"/>
        <family val="2"/>
      </rPr>
      <t xml:space="preserve">중앙 선분 </t>
    </r>
    <r>
      <rPr>
        <b val="true"/>
        <sz val="10"/>
        <rFont val="맑은 고딕"/>
        <family val="0"/>
        <charset val="1"/>
      </rPr>
      <t xml:space="preserve">(mm)</t>
    </r>
  </si>
  <si>
    <t xml:space="preserve">사람이 읽는 뜻</t>
  </si>
  <si>
    <t xml:space="preserve">FF</t>
  </si>
  <si>
    <t xml:space="preserve">초록</t>
  </si>
  <si>
    <t xml:space="preserve">굵직한 선 — 배관일 만하다</t>
  </si>
  <si>
    <t xml:space="preserve">하늘</t>
  </si>
  <si>
    <t xml:space="preserve">짧은 것 다발 — 기호</t>
  </si>
  <si>
    <t xml:space="preserve">4</t>
  </si>
  <si>
    <t xml:space="preserve">적고 아주 긴 것 — 격자</t>
  </si>
  <si>
    <t xml:space="preserve">SO</t>
  </si>
  <si>
    <r>
      <rPr>
        <sz val="9"/>
        <rFont val="Noto Sans CJK SC"/>
        <family val="2"/>
      </rPr>
      <t xml:space="preserve">선분 </t>
    </r>
    <r>
      <rPr>
        <sz val="9"/>
        <rFont val="맑은 고딕"/>
        <family val="0"/>
        <charset val="1"/>
      </rPr>
      <t xml:space="preserve">0 · </t>
    </r>
    <r>
      <rPr>
        <sz val="9"/>
        <rFont val="Noto Sans CJK SC"/>
        <family val="2"/>
      </rPr>
      <t xml:space="preserve">원 </t>
    </r>
    <r>
      <rPr>
        <sz val="9"/>
        <rFont val="맑은 고딕"/>
        <family val="0"/>
        <charset val="1"/>
      </rPr>
      <t xml:space="preserve">274</t>
    </r>
    <r>
      <rPr>
        <sz val="9"/>
        <rFont val="Noto Sans CJK SC"/>
        <family val="2"/>
      </rPr>
      <t xml:space="preserve">개 — 순수 기호</t>
    </r>
  </si>
  <si>
    <r>
      <rPr>
        <sz val="9"/>
        <rFont val="Noto Sans CJK SC"/>
        <family val="2"/>
      </rPr>
      <t xml:space="preserve">※ 곁들여 고친 것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목록에 적히던 선분 수가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도면에 있는 수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가 아니라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그려 보낸 수</t>
    </r>
    <r>
      <rPr>
        <sz val="9"/>
        <rFont val="맑은 고딕"/>
        <family val="0"/>
        <charset val="1"/>
      </rPr>
      <t xml:space="preserve">»(MAX_SEGS </t>
    </r>
    <r>
      <rPr>
        <sz val="9"/>
        <rFont val="Noto Sans CJK SC"/>
        <family val="2"/>
      </rPr>
      <t xml:space="preserve">상한 적용분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였습니다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큰 도면에서 사람이 「이 레이어는 </t>
    </r>
    <r>
      <rPr>
        <sz val="9"/>
        <rFont val="맑은 고딕"/>
        <family val="0"/>
        <charset val="1"/>
      </rPr>
      <t xml:space="preserve">500</t>
    </r>
    <r>
      <rPr>
        <sz val="9"/>
        <rFont val="Noto Sans CJK SC"/>
        <family val="2"/>
      </rPr>
      <t xml:space="preserve">개짜리」로 읽는데 실제로는 수천 개일 수 있어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세는 것과 그리는 것을 분리했습니다</t>
    </r>
    <r>
      <rPr>
        <sz val="9"/>
        <rFont val="맑은 고딕"/>
        <family val="0"/>
        <charset val="1"/>
      </rPr>
      <t xml:space="preserve">(n_all vs n_seg). </t>
    </r>
    <r>
      <rPr>
        <sz val="9"/>
        <rFont val="Noto Sans CJK SC"/>
        <family val="2"/>
      </rPr>
      <t xml:space="preserve">정렬 기준도 잘리지 않은 수로 바꿨습니다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</si>
  <si>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BLOCKED §29 · </t>
    </r>
    <r>
      <rPr>
        <b val="true"/>
        <sz val="14"/>
        <rFont val="Noto Sans CJK SC"/>
        <family val="2"/>
      </rPr>
      <t xml:space="preserve">수리계산 입력에 기기</t>
    </r>
    <r>
      <rPr>
        <b val="true"/>
        <sz val="14"/>
        <rFont val="맑은 고딕"/>
        <family val="0"/>
        <charset val="1"/>
      </rPr>
      <t xml:space="preserve">(FX·</t>
    </r>
    <r>
      <rPr>
        <b val="true"/>
        <sz val="14"/>
        <rFont val="Noto Sans CJK SC"/>
        <family val="2"/>
      </rPr>
      <t xml:space="preserve">알람밸브</t>
    </r>
    <r>
      <rPr>
        <b val="true"/>
        <sz val="14"/>
        <rFont val="맑은 고딕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가 통째로 없다</t>
    </r>
  </si>
  <si>
    <r>
      <rPr>
        <sz val="9"/>
        <rFont val="맑은 고딕"/>
        <family val="0"/>
        <charset val="1"/>
      </rPr>
      <t xml:space="preserve">F-11f </t>
    </r>
    <r>
      <rPr>
        <sz val="9"/>
        <rFont val="Noto Sans CJK SC"/>
        <family val="2"/>
      </rPr>
      <t xml:space="preserve">수정 가능성 매트릭스 백로그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순위를 고치려다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먼저 크기를 재고 나서 평가가 바뀐 건입니다 — 「라우트 한 줄」이 아니었습니다</t>
    </r>
    <r>
      <rPr>
        <sz val="9"/>
        <rFont val="맑은 고딕"/>
        <family val="0"/>
        <charset val="1"/>
      </rPr>
      <t xml:space="preserve">. · </t>
    </r>
    <r>
      <rPr>
        <sz val="9"/>
        <rFont val="Noto Sans CJK SC"/>
        <family val="2"/>
      </rPr>
      <t xml:space="preserve">도구 </t>
    </r>
    <r>
      <rPr>
        <sz val="9"/>
        <rFont val="맑은 고딕"/>
        <family val="0"/>
        <charset val="1"/>
      </rPr>
      <t xml:space="preserve">scripts/_probe_equipment_gap.py</t>
    </r>
  </si>
  <si>
    <r>
      <rPr>
        <b val="true"/>
        <sz val="11"/>
        <rFont val="Noto Sans CJK SC"/>
        <family val="2"/>
      </rPr>
      <t xml:space="preserve">① 권위 레퍼런스가 싣는 것 </t>
    </r>
    <r>
      <rPr>
        <b val="true"/>
        <sz val="11"/>
        <rFont val="맑은 고딕"/>
        <family val="0"/>
        <charset val="1"/>
      </rPr>
      <t xml:space="preserve">(assets/3-1</t>
    </r>
    <r>
      <rPr>
        <b val="true"/>
        <sz val="11"/>
        <rFont val="Noto Sans CJK SC"/>
        <family val="2"/>
      </rPr>
      <t xml:space="preserve">형</t>
    </r>
    <r>
      <rPr>
        <b val="true"/>
        <sz val="11"/>
        <rFont val="맑은 고딕"/>
        <family val="0"/>
        <charset val="1"/>
      </rPr>
      <t xml:space="preserve">_…</t>
    </r>
    <r>
      <rPr>
        <b val="true"/>
        <sz val="11"/>
        <rFont val="Noto Sans CJK SC"/>
        <family val="2"/>
      </rPr>
      <t xml:space="preserve">알람밸브</t>
    </r>
    <r>
      <rPr>
        <b val="true"/>
        <sz val="11"/>
        <rFont val="맑은 고딕"/>
        <family val="0"/>
        <charset val="1"/>
      </rPr>
      <t xml:space="preserve">.sdf)</t>
    </r>
  </si>
  <si>
    <t xml:space="preserve">&lt;Pipe bore="0.02" label="72" length="0.7" …&gt;
  &lt;Components&gt;
    &lt;Equipment description="FX" equivalent-length="15.6" rel-position="0.44…"/&gt;
  &lt;/Components&gt;
&lt;/Pipe&gt;</t>
  </si>
  <si>
    <r>
      <rPr>
        <sz val="9"/>
        <rFont val="Noto Sans CJK SC"/>
        <family val="2"/>
      </rPr>
      <t xml:space="preserve">헤드 접속관</t>
    </r>
    <r>
      <rPr>
        <sz val="9"/>
        <rFont val="맑은 고딕"/>
        <family val="0"/>
        <charset val="1"/>
      </rPr>
      <t xml:space="preserve">(0.7 m)</t>
    </r>
    <r>
      <rPr>
        <sz val="9"/>
        <rFont val="Noto Sans CJK SC"/>
        <family val="2"/>
      </rPr>
      <t xml:space="preserve">마다 </t>
    </r>
    <r>
      <rPr>
        <sz val="9"/>
        <rFont val="맑은 고딕"/>
        <family val="0"/>
        <charset val="1"/>
      </rPr>
      <t xml:space="preserve">FX </t>
    </r>
    <r>
      <rPr>
        <sz val="9"/>
        <rFont val="Noto Sans CJK SC"/>
        <family val="2"/>
      </rPr>
      <t xml:space="preserve">신축배관 등가길이 </t>
    </r>
    <r>
      <rPr>
        <sz val="9"/>
        <rFont val="맑은 고딕"/>
        <family val="0"/>
        <charset val="1"/>
      </rPr>
      <t xml:space="preserve">15.6 m </t>
    </r>
    <r>
      <rPr>
        <sz val="9"/>
        <rFont val="Noto Sans CJK SC"/>
        <family val="2"/>
      </rPr>
      <t xml:space="preserve">가 붙습니다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</si>
  <si>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② 규모 계측 — 대명동</t>
    </r>
    <r>
      <rPr>
        <b val="true"/>
        <sz val="11"/>
        <rFont val="맑은 고딕"/>
        <family val="0"/>
        <charset val="1"/>
      </rPr>
      <t xml:space="preserve">201</t>
    </r>
    <r>
      <rPr>
        <b val="true"/>
        <sz val="11"/>
        <rFont val="Noto Sans CJK SC"/>
        <family val="2"/>
      </rPr>
      <t xml:space="preserve">동 단위세대</t>
    </r>
  </si>
  <si>
    <r>
      <rPr>
        <b val="true"/>
        <sz val="10"/>
        <rFont val="Noto Sans CJK SC"/>
        <family val="2"/>
      </rPr>
      <t xml:space="preserve">배관 총연장 </t>
    </r>
    <r>
      <rPr>
        <b val="true"/>
        <sz val="10"/>
        <rFont val="맑은 고딕"/>
        <family val="0"/>
        <charset val="1"/>
      </rPr>
      <t xml:space="preserve">(m)</t>
    </r>
  </si>
  <si>
    <r>
      <rPr>
        <b val="true"/>
        <sz val="10"/>
        <rFont val="맑은 고딕"/>
        <family val="0"/>
        <charset val="1"/>
      </rPr>
      <t xml:space="preserve">FX </t>
    </r>
    <r>
      <rPr>
        <b val="true"/>
        <sz val="10"/>
        <rFont val="Noto Sans CJK SC"/>
        <family val="2"/>
      </rPr>
      <t xml:space="preserve">개수</t>
    </r>
  </si>
  <si>
    <r>
      <rPr>
        <b val="true"/>
        <sz val="10"/>
        <rFont val="맑은 고딕"/>
        <family val="0"/>
        <charset val="1"/>
      </rPr>
      <t xml:space="preserve">FX </t>
    </r>
    <r>
      <rPr>
        <b val="true"/>
        <sz val="10"/>
        <rFont val="Noto Sans CJK SC"/>
        <family val="2"/>
      </rPr>
      <t xml:space="preserve">등가길이 </t>
    </r>
    <r>
      <rPr>
        <b val="true"/>
        <sz val="10"/>
        <rFont val="맑은 고딕"/>
        <family val="0"/>
        <charset val="1"/>
      </rPr>
      <t xml:space="preserve">(m)</t>
    </r>
  </si>
  <si>
    <r>
      <rPr>
        <b val="true"/>
        <sz val="10"/>
        <rFont val="Noto Sans CJK SC"/>
        <family val="2"/>
      </rPr>
      <t xml:space="preserve">알람밸브 등가길이 </t>
    </r>
    <r>
      <rPr>
        <b val="true"/>
        <sz val="10"/>
        <rFont val="맑은 고딕"/>
        <family val="0"/>
        <charset val="1"/>
      </rPr>
      <t xml:space="preserve">(m)</t>
    </r>
  </si>
  <si>
    <r>
      <rPr>
        <b val="true"/>
        <sz val="10"/>
        <rFont val="Noto Sans CJK SC"/>
        <family val="2"/>
      </rPr>
      <t xml:space="preserve">기기 등가길이 합 </t>
    </r>
    <r>
      <rPr>
        <b val="true"/>
        <sz val="10"/>
        <rFont val="맑은 고딕"/>
        <family val="0"/>
        <charset val="1"/>
      </rPr>
      <t xml:space="preserve">(m)</t>
    </r>
  </si>
  <si>
    <t xml:space="preserve">배관 총연장 대비</t>
  </si>
  <si>
    <r>
      <rPr>
        <sz val="10"/>
        <rFont val="Noto Sans CJK SC"/>
        <family val="2"/>
      </rPr>
      <t xml:space="preserve">권위 레퍼런스 </t>
    </r>
    <r>
      <rPr>
        <sz val="10"/>
        <rFont val="맑은 고딕"/>
        <family val="0"/>
        <charset val="1"/>
      </rPr>
      <t xml:space="preserve">(3-1</t>
    </r>
    <r>
      <rPr>
        <sz val="10"/>
        <rFont val="Noto Sans CJK SC"/>
        <family val="2"/>
      </rPr>
      <t xml:space="preserve">형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</si>
  <si>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★ 모듈 </t>
    </r>
    <r>
      <rPr>
        <b val="true"/>
        <sz val="10"/>
        <rFont val="맑은 고딕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산출물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현재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</si>
  <si>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계산값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레퍼런스 규약을 우리 망에 적용 시</t>
    </r>
  </si>
  <si>
    <r>
      <rPr>
        <b val="true"/>
        <sz val="11"/>
        <rFont val="Noto Sans CJK SC"/>
        <family val="2"/>
      </rPr>
      <t xml:space="preserve">★ 누락 등가길이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레퍼런스 규약 − 현재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</si>
  <si>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★ 단서 — </t>
    </r>
    <r>
      <rPr>
        <sz val="9"/>
        <rFont val="맑은 고딕"/>
        <family val="0"/>
        <charset val="1"/>
      </rPr>
      <t xml:space="preserve">PIPENET </t>
    </r>
    <r>
      <rPr>
        <sz val="9"/>
        <rFont val="Noto Sans CJK SC"/>
        <family val="2"/>
      </rPr>
      <t xml:space="preserve">을 직접 돌려 확인한 것은 아닙니다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여기서 잰 것은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입력에서 빠진 양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이지 </t>
    </r>
    <r>
      <rPr>
        <sz val="9"/>
        <rFont val="맑은 고딕"/>
        <family val="0"/>
        <charset val="1"/>
      </rPr>
      <t xml:space="preserve">«</t>
    </r>
    <r>
      <rPr>
        <sz val="9"/>
        <rFont val="Noto Sans CJK SC"/>
        <family val="2"/>
      </rPr>
      <t xml:space="preserve">결과가 몇 </t>
    </r>
    <r>
      <rPr>
        <sz val="9"/>
        <rFont val="맑은 고딕"/>
        <family val="0"/>
        <charset val="1"/>
      </rPr>
      <t xml:space="preserve">% </t>
    </r>
    <r>
      <rPr>
        <sz val="9"/>
        <rFont val="Noto Sans CJK SC"/>
        <family val="2"/>
      </rPr>
      <t xml:space="preserve">틀리나</t>
    </r>
    <r>
      <rPr>
        <sz val="9"/>
        <rFont val="맑은 고딕"/>
        <family val="0"/>
        <charset val="1"/>
      </rPr>
      <t xml:space="preserve">» </t>
    </r>
    <r>
      <rPr>
        <sz val="9"/>
        <rFont val="Noto Sans CJK SC"/>
        <family val="2"/>
      </rPr>
      <t xml:space="preserve">가 아닙니다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다만 등가길이는 마찰손실에 배관 길이와 같은 자격으로 들어가고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배관 전체보다 많은 양이 빠졌으므로 압력 계산이 그만큼 낙관적이 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</si>
  <si>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※ [</t>
    </r>
    <r>
      <rPr>
        <sz val="9"/>
        <rFont val="Noto Sans CJK SC"/>
        <family val="2"/>
      </rPr>
      <t xml:space="preserve">계산값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행의 </t>
    </r>
    <r>
      <rPr>
        <sz val="9"/>
        <rFont val="맑은 고딕"/>
        <family val="0"/>
        <charset val="1"/>
      </rPr>
      <t xml:space="preserve">FX 32</t>
    </r>
    <r>
      <rPr>
        <sz val="9"/>
        <rFont val="Noto Sans CJK SC"/>
        <family val="2"/>
      </rPr>
      <t xml:space="preserve">개 </t>
    </r>
    <r>
      <rPr>
        <sz val="9"/>
        <rFont val="맑은 고딕"/>
        <family val="0"/>
        <charset val="1"/>
      </rPr>
      <t xml:space="preserve">· 499.2 m </t>
    </r>
    <r>
      <rPr>
        <sz val="9"/>
        <rFont val="Noto Sans CJK SC"/>
        <family val="2"/>
      </rPr>
      <t xml:space="preserve">는 레퍼런스 규약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헤드당 </t>
    </r>
    <r>
      <rPr>
        <sz val="9"/>
        <rFont val="맑은 고딕"/>
        <family val="0"/>
        <charset val="1"/>
      </rPr>
      <t xml:space="preserve">15.6 m)</t>
    </r>
    <r>
      <rPr>
        <sz val="9"/>
        <rFont val="Noto Sans CJK SC"/>
        <family val="2"/>
      </rPr>
      <t xml:space="preserve">을 우리 망의 헤드 </t>
    </r>
    <r>
      <rPr>
        <sz val="9"/>
        <rFont val="맑은 고딕"/>
        <family val="0"/>
        <charset val="1"/>
      </rPr>
      <t xml:space="preserve">32</t>
    </r>
    <r>
      <rPr>
        <sz val="9"/>
        <rFont val="Noto Sans CJK SC"/>
        <family val="2"/>
      </rPr>
      <t xml:space="preserve">개에 적용한 계산값이며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실제 산출물에서 관측된 값이 아닙니다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</si>
  <si>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③ 두 경로가 다른 답을 낸다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원인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사람이 정해야 할 것</t>
    </r>
  </si>
  <si>
    <t xml:space="preserve">현상</t>
  </si>
  <si>
    <r>
      <rPr>
        <sz val="9"/>
        <rFont val="Noto Sans CJK SC"/>
        <family val="2"/>
      </rPr>
      <t xml:space="preserve">모듈 </t>
    </r>
    <r>
      <rPr>
        <sz val="9"/>
        <rFont val="맑은 고딕"/>
        <family val="0"/>
        <charset val="1"/>
      </rPr>
      <t xml:space="preserve">A(remote30_prototype.build_input_tables)</t>
    </r>
    <r>
      <rPr>
        <sz val="9"/>
        <rFont val="Noto Sans CJK SC"/>
        <family val="2"/>
      </rPr>
      <t xml:space="preserve">는 헤드마다 </t>
    </r>
    <r>
      <rPr>
        <sz val="9"/>
        <rFont val="맑은 고딕"/>
        <family val="0"/>
        <charset val="1"/>
      </rPr>
      <t xml:space="preserve">FX equipment </t>
    </r>
    <r>
      <rPr>
        <sz val="9"/>
        <rFont val="Noto Sans CJK SC"/>
        <family val="2"/>
      </rPr>
      <t xml:space="preserve">를 만들고 사람이 규격을 고쳐 넣는 화면</t>
    </r>
    <r>
      <rPr>
        <sz val="9"/>
        <rFont val="맑은 고딕"/>
        <family val="0"/>
        <charset val="1"/>
      </rPr>
      <t xml:space="preserve">(fx_review)</t>
    </r>
    <r>
      <rPr>
        <sz val="9"/>
        <rFont val="Noto Sans CJK SC"/>
        <family val="2"/>
      </rPr>
      <t xml:space="preserve">까지 갖췄습니다</t>
    </r>
    <r>
      <rPr>
        <sz val="9"/>
        <rFont val="맑은 고딕"/>
        <family val="0"/>
        <charset val="1"/>
      </rPr>
      <t xml:space="preserve">. A </t>
    </r>
    <r>
      <rPr>
        <sz val="9"/>
        <rFont val="Noto Sans CJK SC"/>
        <family val="2"/>
      </rPr>
      <t xml:space="preserve">산출물에는 기기 </t>
    </r>
    <r>
      <rPr>
        <sz val="9"/>
        <rFont val="맑은 고딕"/>
        <family val="0"/>
        <charset val="1"/>
      </rPr>
      <t xml:space="preserve">31</t>
    </r>
    <r>
      <rPr>
        <sz val="9"/>
        <rFont val="Noto Sans CJK SC"/>
        <family val="2"/>
      </rPr>
      <t xml:space="preserve">개가 실려 있고</t>
    </r>
    <r>
      <rPr>
        <sz val="9"/>
        <rFont val="맑은 고딕"/>
        <family val="0"/>
        <charset val="1"/>
      </rPr>
      <t xml:space="preserve">(g13_module_a.sdf), </t>
    </r>
    <r>
      <rPr>
        <sz val="9"/>
        <rFont val="Noto Sans CJK SC"/>
        <family val="2"/>
      </rPr>
      <t xml:space="preserve">모듈 </t>
    </r>
    <r>
      <rPr>
        <sz val="9"/>
        <rFont val="맑은 고딕"/>
        <family val="0"/>
        <charset val="1"/>
      </rPr>
      <t xml:space="preserve">F </t>
    </r>
    <r>
      <rPr>
        <sz val="9"/>
        <rFont val="Noto Sans CJK SC"/>
        <family val="2"/>
      </rPr>
      <t xml:space="preserve">경로는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개입니다</t>
    </r>
    <r>
      <rPr>
        <sz val="9"/>
        <rFont val="맑은 고딕"/>
        <family val="0"/>
        <charset val="1"/>
      </rPr>
      <t xml:space="preserve">.</t>
    </r>
  </si>
  <si>
    <t xml:space="preserve">원인</t>
  </si>
  <si>
    <r>
      <rPr>
        <sz val="9"/>
        <rFont val="맑은 고딕"/>
        <family val="0"/>
        <charset val="1"/>
      </rPr>
      <t xml:space="preserve">G 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build_design_tables(valve_nodes=…) </t>
    </r>
    <r>
      <rPr>
        <sz val="9"/>
        <rFont val="Noto Sans CJK SC"/>
        <family val="2"/>
      </rPr>
      <t xml:space="preserve">는 알람밸브만 다루고 </t>
    </r>
    <r>
      <rPr>
        <sz val="9"/>
        <rFont val="맑은 고딕"/>
        <family val="0"/>
        <charset val="1"/>
      </rPr>
      <t xml:space="preserve">FX </t>
    </r>
    <r>
      <rPr>
        <sz val="9"/>
        <rFont val="Noto Sans CJK SC"/>
        <family val="2"/>
      </rPr>
      <t xml:space="preserve">는 만들지 않으며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그 </t>
    </r>
    <r>
      <rPr>
        <sz val="9"/>
        <rFont val="맑은 고딕"/>
        <family val="0"/>
        <charset val="1"/>
      </rPr>
      <t xml:space="preserve">valve_nodes </t>
    </r>
    <r>
      <rPr>
        <sz val="9"/>
        <rFont val="Noto Sans CJK SC"/>
        <family val="2"/>
      </rPr>
      <t xml:space="preserve">조차 웹 모듈 </t>
    </r>
    <r>
      <rPr>
        <sz val="9"/>
        <rFont val="맑은 고딕"/>
        <family val="0"/>
        <charset val="1"/>
      </rPr>
      <t xml:space="preserve">F </t>
    </r>
    <r>
      <rPr>
        <sz val="9"/>
        <rFont val="Noto Sans CJK SC"/>
        <family val="2"/>
      </rPr>
      <t xml:space="preserve">도 데스크톱 </t>
    </r>
    <r>
      <rPr>
        <sz val="9"/>
        <rFont val="맑은 고딕"/>
        <family val="0"/>
        <charset val="1"/>
      </rPr>
      <t xml:space="preserve">G </t>
    </r>
    <r>
      <rPr>
        <sz val="9"/>
        <rFont val="Noto Sans CJK SC"/>
        <family val="2"/>
      </rPr>
      <t xml:space="preserve">창도 넘기지 않습니다</t>
    </r>
    <r>
      <rPr>
        <sz val="9"/>
        <rFont val="맑은 고딕"/>
        <family val="0"/>
        <charset val="1"/>
      </rPr>
      <t xml:space="preserve">(dialog_design_input.py:317 </t>
    </r>
    <r>
      <rPr>
        <sz val="9"/>
        <rFont val="Noto Sans CJK SC"/>
        <family val="2"/>
      </rPr>
      <t xml:space="preserve">이 명시적으로 </t>
    </r>
    <r>
      <rPr>
        <sz val="9"/>
        <rFont val="맑은 고딕"/>
        <family val="0"/>
        <charset val="1"/>
      </rPr>
      <t xml:space="preserve">None). </t>
    </r>
    <r>
      <rPr>
        <sz val="9"/>
        <rFont val="Noto Sans CJK SC"/>
        <family val="2"/>
      </rPr>
      <t xml:space="preserve">손질에서 알람밸브를 원클릭으로 찍어도 산출에 실리지 않고</t>
    </r>
    <r>
      <rPr>
        <sz val="9"/>
        <rFont val="맑은 고딕"/>
        <family val="0"/>
        <charset val="1"/>
      </rPr>
      <t xml:space="preserve">, eq_len 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0.0 </t>
    </r>
    <r>
      <rPr>
        <sz val="9"/>
        <rFont val="Noto Sans CJK SC"/>
        <family val="2"/>
      </rPr>
      <t xml:space="preserve">하드코딩이라 이었더라도 </t>
    </r>
    <r>
      <rPr>
        <sz val="9"/>
        <rFont val="맑은 고딕"/>
        <family val="0"/>
        <charset val="1"/>
      </rPr>
      <t xml:space="preserve">12.9 m </t>
    </r>
    <r>
      <rPr>
        <sz val="9"/>
        <rFont val="Noto Sans CJK SC"/>
        <family val="2"/>
      </rPr>
      <t xml:space="preserve">가 아니라 </t>
    </r>
    <r>
      <rPr>
        <sz val="9"/>
        <rFont val="맑은 고딕"/>
        <family val="0"/>
        <charset val="1"/>
      </rPr>
      <t xml:space="preserve">0 </t>
    </r>
    <r>
      <rPr>
        <sz val="9"/>
        <rFont val="Noto Sans CJK SC"/>
        <family val="2"/>
      </rPr>
      <t xml:space="preserve">이 됩니다</t>
    </r>
    <r>
      <rPr>
        <sz val="9"/>
        <rFont val="맑은 고딕"/>
        <family val="0"/>
        <charset val="1"/>
      </rPr>
      <t xml:space="preserve">.</t>
    </r>
  </si>
  <si>
    <t xml:space="preserve">파급</t>
  </si>
  <si>
    <r>
      <rPr>
        <sz val="9"/>
        <rFont val="맑은 고딕"/>
        <family val="0"/>
        <charset val="1"/>
      </rPr>
      <t xml:space="preserve">_valve_label(tables) </t>
    </r>
    <r>
      <rPr>
        <sz val="9"/>
        <rFont val="Noto Sans CJK SC"/>
        <family val="2"/>
      </rPr>
      <t xml:space="preserve">이 항상 </t>
    </r>
    <r>
      <rPr>
        <sz val="9"/>
        <rFont val="맑은 고딕"/>
        <family val="0"/>
        <charset val="1"/>
      </rPr>
      <t xml:space="preserve">None </t>
    </r>
    <r>
      <rPr>
        <sz val="9"/>
        <rFont val="Noto Sans CJK SC"/>
        <family val="2"/>
      </rPr>
      <t xml:space="preserve">이라 「</t>
    </r>
    <r>
      <rPr>
        <sz val="9"/>
        <rFont val="맑은 고딕"/>
        <family val="0"/>
        <charset val="1"/>
      </rPr>
      <t xml:space="preserve">lift </t>
    </r>
    <r>
      <rPr>
        <sz val="9"/>
        <rFont val="Noto Sans CJK SC"/>
        <family val="2"/>
      </rPr>
      <t xml:space="preserve">영점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알람밸브」 설정이 조용히 폴백됩니다</t>
    </r>
    <r>
      <rPr>
        <sz val="9"/>
        <rFont val="맑은 고딕"/>
        <family val="0"/>
        <charset val="1"/>
      </rPr>
      <t xml:space="preserve">.</t>
    </r>
  </si>
  <si>
    <t xml:space="preserve">미조치 사유</t>
  </si>
  <si>
    <r>
      <rPr>
        <sz val="9"/>
        <rFont val="Noto Sans CJK SC"/>
        <family val="2"/>
      </rPr>
      <t xml:space="preserve">① 산출 값이 통째로 바뀌어 골든이 전부 재생성 대상 — 「사람의 명시적 수정 외에는 산출을 바꾸지 않는다」 원칙을 크게 넘습니다</t>
    </r>
    <r>
      <rPr>
        <sz val="9"/>
        <rFont val="맑은 고딕"/>
        <family val="0"/>
        <charset val="1"/>
      </rPr>
      <t xml:space="preserve">. ② A 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FX </t>
    </r>
    <r>
      <rPr>
        <sz val="9"/>
        <rFont val="Noto Sans CJK SC"/>
        <family val="2"/>
      </rPr>
      <t xml:space="preserve">로직은 </t>
    </r>
    <r>
      <rPr>
        <sz val="9"/>
        <rFont val="맑은 고딕"/>
        <family val="0"/>
        <charset val="1"/>
      </rPr>
      <t xml:space="preserve">A </t>
    </r>
    <r>
      <rPr>
        <sz val="9"/>
        <rFont val="Noto Sans CJK SC"/>
        <family val="2"/>
      </rPr>
      <t xml:space="preserve">전용 타입에 묶여 있어 그대로 옮길 수 없고</t>
    </r>
    <r>
      <rPr>
        <sz val="9"/>
        <rFont val="맑은 고딕"/>
        <family val="0"/>
        <charset val="1"/>
      </rPr>
      <t xml:space="preserve">, F </t>
    </r>
    <r>
      <rPr>
        <sz val="9"/>
        <rFont val="Noto Sans CJK SC"/>
        <family val="2"/>
      </rPr>
      <t xml:space="preserve">에서 다시 구현하면 규칙이 두 벌이 됩니다</t>
    </r>
    <r>
      <rPr>
        <sz val="9"/>
        <rFont val="맑은 고딕"/>
        <family val="0"/>
        <charset val="1"/>
      </rPr>
      <t xml:space="preserve">. ③ FX </t>
    </r>
    <r>
      <rPr>
        <sz val="9"/>
        <rFont val="Noto Sans CJK SC"/>
        <family val="2"/>
      </rPr>
      <t xml:space="preserve">를 모든 헤드에 다는 것이 이 현장에 맞는지는 설계 결정입니다</t>
    </r>
    <r>
      <rPr>
        <sz val="9"/>
        <rFont val="맑은 고딕"/>
        <family val="0"/>
        <charset val="1"/>
      </rPr>
      <t xml:space="preserve">.</t>
    </r>
  </si>
  <si>
    <t xml:space="preserve">★ 정해야 할 것</t>
  </si>
  <si>
    <r>
      <rPr>
        <b val="true"/>
        <sz val="9"/>
        <rFont val="맑은 고딕"/>
        <family val="0"/>
        <charset val="1"/>
      </rPr>
      <t xml:space="preserve">· FX </t>
    </r>
    <r>
      <rPr>
        <b val="true"/>
        <sz val="9"/>
        <rFont val="Noto Sans CJK SC"/>
        <family val="2"/>
      </rPr>
      <t xml:space="preserve">를 </t>
    </r>
    <r>
      <rPr>
        <b val="true"/>
        <sz val="9"/>
        <rFont val="맑은 고딕"/>
        <family val="0"/>
        <charset val="1"/>
      </rPr>
      <t xml:space="preserve">F </t>
    </r>
    <r>
      <rPr>
        <b val="true"/>
        <sz val="9"/>
        <rFont val="Noto Sans CJK SC"/>
        <family val="2"/>
      </rPr>
      <t xml:space="preserve">경로에도 실을 것인가 </t>
    </r>
    <r>
      <rPr>
        <b val="true"/>
        <sz val="9"/>
        <rFont val="맑은 고딕"/>
        <family val="0"/>
        <charset val="1"/>
      </rPr>
      <t xml:space="preserve">/ </t>
    </r>
    <r>
      <rPr>
        <b val="true"/>
        <sz val="9"/>
        <rFont val="Noto Sans CJK SC"/>
        <family val="2"/>
      </rPr>
      <t xml:space="preserve">실으면 어느 모듈이 그 규칙을 소유하는가</t>
    </r>
    <r>
      <rPr>
        <b val="true"/>
        <sz val="9"/>
        <rFont val="맑은 고딕"/>
        <family val="0"/>
        <charset val="1"/>
      </rPr>
      <t xml:space="preserve">(A </t>
    </r>
    <r>
      <rPr>
        <b val="true"/>
        <sz val="9"/>
        <rFont val="Noto Sans CJK SC"/>
        <family val="2"/>
      </rPr>
      <t xml:space="preserve">에서 꺼내 공용으로 옮기나</t>
    </r>
    <r>
      <rPr>
        <b val="true"/>
        <sz val="9"/>
        <rFont val="맑은 고딕"/>
        <family val="0"/>
        <charset val="1"/>
      </rPr>
      <t xml:space="preserve">, G </t>
    </r>
    <r>
      <rPr>
        <b val="true"/>
        <sz val="9"/>
        <rFont val="Noto Sans CJK SC"/>
        <family val="2"/>
      </rPr>
      <t xml:space="preserve">로 옮기나</t>
    </r>
    <r>
      <rPr>
        <b val="true"/>
        <sz val="9"/>
        <rFont val="맑은 고딕"/>
        <family val="0"/>
        <charset val="1"/>
      </rPr>
      <t xml:space="preserve">)
· </t>
    </r>
    <r>
      <rPr>
        <b val="true"/>
        <sz val="9"/>
        <rFont val="Noto Sans CJK SC"/>
        <family val="2"/>
      </rPr>
      <t xml:space="preserve">실으면 기존 골든 전체가 바뀌므로 재생성 계획이 필요
</t>
    </r>
    <r>
      <rPr>
        <b val="true"/>
        <sz val="9"/>
        <rFont val="맑은 고딕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알람밸브 </t>
    </r>
    <r>
      <rPr>
        <b val="true"/>
        <sz val="9"/>
        <rFont val="맑은 고딕"/>
        <family val="0"/>
        <charset val="1"/>
      </rPr>
      <t xml:space="preserve">eq_len 0.0 </t>
    </r>
    <r>
      <rPr>
        <b val="true"/>
        <sz val="9"/>
        <rFont val="Noto Sans CJK SC"/>
        <family val="2"/>
      </rPr>
      <t xml:space="preserve">하드코딩도 함께 결정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레퍼런스는 </t>
    </r>
    <r>
      <rPr>
        <b val="true"/>
        <sz val="9"/>
        <rFont val="맑은 고딕"/>
        <family val="0"/>
        <charset val="1"/>
      </rPr>
      <t xml:space="preserve">12.9 m)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</si>
</sst>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"/>
    <numFmt numFmtId="167" formatCode="0.00"/>
    <numFmt numFmtId="168" formatCode="0.0%"/>
    <numFmt numFmtId="169" formatCode="#,##0.00"/>
    <numFmt numFmtId="170" formatCode="#,##0.0"/>
    <numFmt numFmtId="171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맑은 고딕"/>
      <family val="0"/>
      <charset val="1"/>
    </font>
    <font>
      <sz val="9"/>
      <name val="Noto Sans CJK SC"/>
      <family val="2"/>
    </font>
    <font>
      <sz val="9"/>
      <name val="맑은 고딕"/>
      <family val="0"/>
      <charset val="1"/>
    </font>
    <font>
      <b val="true"/>
      <sz val="11"/>
      <name val="Noto Sans CJK SC"/>
      <family val="2"/>
    </font>
    <font>
      <b val="true"/>
      <sz val="10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1"/>
      <name val="맑은 고딕"/>
      <family val="0"/>
      <charset val="1"/>
    </font>
    <font>
      <sz val="9"/>
      <name val="Consolas"/>
      <family val="0"/>
      <charset val="1"/>
    </font>
    <font>
      <b val="true"/>
      <sz val="10"/>
      <name val="맑은 고딕"/>
      <family val="0"/>
      <charset val="1"/>
    </font>
    <font>
      <b val="true"/>
      <sz val="9"/>
      <name val="Noto Sans CJK SC"/>
      <family val="2"/>
    </font>
    <font>
      <b val="true"/>
      <sz val="12"/>
      <name val="맑은 고딕"/>
      <family val="0"/>
      <charset val="1"/>
    </font>
    <font>
      <b val="true"/>
      <sz val="9"/>
      <name val="맑은 고딕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15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</row>
    <row r="8" customFormat="false" ht="15" hidden="false" customHeight="true" outlineLevel="0" collapsed="false">
      <c r="A8" s="5" t="s">
        <v>9</v>
      </c>
      <c r="B8" s="7" t="s">
        <v>10</v>
      </c>
      <c r="C8" s="7"/>
      <c r="D8" s="7"/>
      <c r="E8" s="7"/>
      <c r="F8" s="7"/>
    </row>
    <row r="9" customFormat="false" ht="15" hidden="false" customHeight="true" outlineLevel="0" collapsed="false">
      <c r="A9" s="5" t="s">
        <v>11</v>
      </c>
      <c r="B9" s="6" t="s">
        <v>12</v>
      </c>
      <c r="C9" s="6"/>
      <c r="D9" s="6"/>
      <c r="E9" s="6"/>
      <c r="F9" s="6"/>
    </row>
    <row r="11" customFormat="false" ht="19.5" hidden="false" customHeight="true" outlineLevel="0" collapsed="false">
      <c r="A11" s="3" t="s">
        <v>13</v>
      </c>
      <c r="B11" s="4"/>
      <c r="C11" s="4"/>
      <c r="D11" s="4"/>
      <c r="E11" s="4"/>
      <c r="F11" s="4"/>
    </row>
    <row r="12" customFormat="false" ht="30" hidden="false" customHeight="true" outlineLevel="0" collapsed="false">
      <c r="A12" s="8" t="s">
        <v>14</v>
      </c>
      <c r="B12" s="8" t="s">
        <v>15</v>
      </c>
      <c r="C12" s="8" t="s">
        <v>16</v>
      </c>
      <c r="D12" s="8" t="s">
        <v>17</v>
      </c>
      <c r="E12" s="8" t="s">
        <v>18</v>
      </c>
      <c r="F12" s="8" t="s">
        <v>19</v>
      </c>
    </row>
    <row r="13" customFormat="false" ht="25.5" hidden="false" customHeight="true" outlineLevel="0" collapsed="false">
      <c r="A13" s="9" t="s">
        <v>20</v>
      </c>
      <c r="B13" s="10" t="s">
        <v>21</v>
      </c>
      <c r="C13" s="6" t="s">
        <v>22</v>
      </c>
      <c r="D13" s="11" t="s">
        <v>23</v>
      </c>
      <c r="E13" s="12" t="s">
        <v>24</v>
      </c>
      <c r="F13" s="13" t="s">
        <v>25</v>
      </c>
    </row>
    <row r="14" customFormat="false" ht="25.5" hidden="false" customHeight="true" outlineLevel="0" collapsed="false">
      <c r="A14" s="9" t="s">
        <v>26</v>
      </c>
      <c r="B14" s="10" t="s">
        <v>27</v>
      </c>
      <c r="C14" s="6" t="s">
        <v>28</v>
      </c>
      <c r="D14" s="11" t="s">
        <v>29</v>
      </c>
      <c r="E14" s="12" t="s">
        <v>30</v>
      </c>
      <c r="F14" s="13" t="s">
        <v>25</v>
      </c>
    </row>
    <row r="15" customFormat="false" ht="25.5" hidden="false" customHeight="true" outlineLevel="0" collapsed="false">
      <c r="A15" s="9" t="s">
        <v>31</v>
      </c>
      <c r="B15" s="10" t="s">
        <v>32</v>
      </c>
      <c r="C15" s="6" t="s">
        <v>33</v>
      </c>
      <c r="D15" s="11" t="s">
        <v>29</v>
      </c>
      <c r="E15" s="12" t="s">
        <v>24</v>
      </c>
      <c r="F15" s="13" t="s">
        <v>25</v>
      </c>
    </row>
    <row r="16" customFormat="false" ht="25.5" hidden="false" customHeight="true" outlineLevel="0" collapsed="false">
      <c r="A16" s="9" t="s">
        <v>34</v>
      </c>
      <c r="B16" s="10" t="s">
        <v>35</v>
      </c>
      <c r="C16" s="6" t="s">
        <v>36</v>
      </c>
      <c r="D16" s="11" t="s">
        <v>29</v>
      </c>
      <c r="E16" s="12" t="s">
        <v>24</v>
      </c>
      <c r="F16" s="13" t="s">
        <v>25</v>
      </c>
    </row>
    <row r="17" customFormat="false" ht="25.5" hidden="false" customHeight="true" outlineLevel="0" collapsed="false">
      <c r="A17" s="9" t="s">
        <v>37</v>
      </c>
      <c r="B17" s="10" t="s">
        <v>38</v>
      </c>
      <c r="C17" s="6" t="s">
        <v>39</v>
      </c>
      <c r="D17" s="11" t="s">
        <v>29</v>
      </c>
      <c r="E17" s="12" t="s">
        <v>40</v>
      </c>
      <c r="F17" s="13" t="s">
        <v>25</v>
      </c>
    </row>
    <row r="18" customFormat="false" ht="25.5" hidden="false" customHeight="true" outlineLevel="0" collapsed="false">
      <c r="A18" s="9" t="s">
        <v>41</v>
      </c>
      <c r="B18" s="10" t="s">
        <v>42</v>
      </c>
      <c r="C18" s="7" t="s">
        <v>43</v>
      </c>
      <c r="D18" s="11" t="s">
        <v>29</v>
      </c>
      <c r="E18" s="12" t="s">
        <v>44</v>
      </c>
      <c r="F18" s="13" t="s">
        <v>45</v>
      </c>
    </row>
    <row r="19" customFormat="false" ht="25.5" hidden="false" customHeight="true" outlineLevel="0" collapsed="false">
      <c r="A19" s="9" t="s">
        <v>46</v>
      </c>
      <c r="B19" s="10" t="s">
        <v>47</v>
      </c>
      <c r="C19" s="7" t="s">
        <v>48</v>
      </c>
      <c r="D19" s="11" t="s">
        <v>29</v>
      </c>
      <c r="E19" s="12" t="s">
        <v>44</v>
      </c>
      <c r="F19" s="13" t="s">
        <v>49</v>
      </c>
    </row>
    <row r="20" customFormat="false" ht="25.5" hidden="false" customHeight="true" outlineLevel="0" collapsed="false">
      <c r="A20" s="9" t="s">
        <v>50</v>
      </c>
      <c r="B20" s="10" t="s">
        <v>51</v>
      </c>
      <c r="C20" s="14" t="s">
        <v>52</v>
      </c>
      <c r="D20" s="11" t="s">
        <v>29</v>
      </c>
      <c r="E20" s="12" t="s">
        <v>53</v>
      </c>
      <c r="F20" s="13" t="s">
        <v>54</v>
      </c>
    </row>
    <row r="22" customFormat="false" ht="19.5" hidden="false" customHeight="true" outlineLevel="0" collapsed="false">
      <c r="A22" s="3" t="s">
        <v>55</v>
      </c>
      <c r="B22" s="4"/>
      <c r="C22" s="4"/>
      <c r="D22" s="4"/>
      <c r="E22" s="4"/>
      <c r="F22" s="4"/>
    </row>
    <row r="23" customFormat="false" ht="30" hidden="false" customHeight="true" outlineLevel="0" collapsed="false">
      <c r="A23" s="8" t="s">
        <v>17</v>
      </c>
      <c r="B23" s="8" t="s">
        <v>56</v>
      </c>
      <c r="C23" s="8" t="s">
        <v>57</v>
      </c>
      <c r="D23" s="8"/>
      <c r="E23" s="8"/>
      <c r="F23" s="8"/>
    </row>
    <row r="24" customFormat="false" ht="30" hidden="false" customHeight="true" outlineLevel="0" collapsed="false">
      <c r="A24" s="15" t="s">
        <v>58</v>
      </c>
      <c r="B24" s="7" t="s">
        <v>59</v>
      </c>
      <c r="C24" s="7"/>
      <c r="D24" s="7"/>
      <c r="E24" s="16" t="s">
        <v>60</v>
      </c>
      <c r="F24" s="16"/>
    </row>
    <row r="25" customFormat="false" ht="30" hidden="false" customHeight="true" outlineLevel="0" collapsed="false">
      <c r="A25" s="15" t="s">
        <v>58</v>
      </c>
      <c r="B25" s="7" t="s">
        <v>61</v>
      </c>
      <c r="C25" s="7"/>
      <c r="D25" s="7"/>
      <c r="E25" s="16" t="s">
        <v>62</v>
      </c>
      <c r="F25" s="16"/>
    </row>
    <row r="26" customFormat="false" ht="30" hidden="false" customHeight="true" outlineLevel="0" collapsed="false">
      <c r="A26" s="15" t="s">
        <v>63</v>
      </c>
      <c r="B26" s="7" t="s">
        <v>64</v>
      </c>
      <c r="C26" s="7"/>
      <c r="D26" s="7"/>
      <c r="E26" s="16" t="s">
        <v>65</v>
      </c>
      <c r="F26" s="16"/>
    </row>
    <row r="27" customFormat="false" ht="30" hidden="false" customHeight="true" outlineLevel="0" collapsed="false">
      <c r="A27" s="15" t="s">
        <v>66</v>
      </c>
      <c r="B27" s="14" t="s">
        <v>67</v>
      </c>
      <c r="C27" s="14"/>
      <c r="D27" s="14"/>
      <c r="E27" s="16" t="s">
        <v>68</v>
      </c>
      <c r="F27" s="16"/>
    </row>
    <row r="29" customFormat="false" ht="25.5" hidden="false" customHeight="true" outlineLevel="0" collapsed="false">
      <c r="A29" s="17" t="s">
        <v>69</v>
      </c>
      <c r="B29" s="17"/>
      <c r="C29" s="17"/>
      <c r="D29" s="17"/>
      <c r="E29" s="17"/>
      <c r="F29" s="17"/>
    </row>
  </sheetData>
  <mergeCells count="14">
    <mergeCell ref="B5:F5"/>
    <mergeCell ref="B6:F6"/>
    <mergeCell ref="B7:F7"/>
    <mergeCell ref="B8:F8"/>
    <mergeCell ref="B9:F9"/>
    <mergeCell ref="B24:D24"/>
    <mergeCell ref="E24:F24"/>
    <mergeCell ref="B25:D25"/>
    <mergeCell ref="E25:F25"/>
    <mergeCell ref="B26:D26"/>
    <mergeCell ref="E26:F26"/>
    <mergeCell ref="B27:D27"/>
    <mergeCell ref="E27:F27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4"/>
  </cols>
  <sheetData>
    <row r="1" customFormat="false" ht="24" hidden="false" customHeight="true" outlineLevel="0" collapsed="false">
      <c r="A1" s="18" t="s">
        <v>70</v>
      </c>
    </row>
    <row r="2" customFormat="false" ht="15" hidden="false" customHeight="false" outlineLevel="0" collapsed="false">
      <c r="A2" s="2" t="s">
        <v>71</v>
      </c>
    </row>
    <row r="4" customFormat="false" ht="30" hidden="false" customHeight="true" outlineLevel="0" collapsed="false">
      <c r="A4" s="8" t="s">
        <v>17</v>
      </c>
      <c r="B4" s="8" t="s">
        <v>72</v>
      </c>
      <c r="C4" s="8" t="s">
        <v>73</v>
      </c>
      <c r="D4" s="19" t="s">
        <v>74</v>
      </c>
      <c r="E4" s="19" t="s">
        <v>75</v>
      </c>
    </row>
    <row r="5" customFormat="false" ht="15" hidden="false" customHeight="false" outlineLevel="0" collapsed="false">
      <c r="A5" s="20" t="s">
        <v>76</v>
      </c>
      <c r="B5" s="21" t="s">
        <v>77</v>
      </c>
      <c r="C5" s="22" t="n">
        <v>13.3</v>
      </c>
      <c r="D5" s="22" t="n">
        <v>16</v>
      </c>
      <c r="E5" s="22" t="n">
        <v>110.6</v>
      </c>
    </row>
    <row r="6" customFormat="false" ht="15" hidden="false" customHeight="false" outlineLevel="0" collapsed="false">
      <c r="A6" s="20" t="s">
        <v>76</v>
      </c>
      <c r="B6" s="21" t="s">
        <v>78</v>
      </c>
      <c r="C6" s="22" t="n">
        <v>3.3</v>
      </c>
      <c r="D6" s="22" t="n">
        <v>3.9</v>
      </c>
      <c r="E6" s="22" t="n">
        <v>11.3</v>
      </c>
    </row>
    <row r="7" customFormat="false" ht="15" hidden="false" customHeight="false" outlineLevel="0" collapsed="false">
      <c r="A7" s="20" t="s">
        <v>79</v>
      </c>
      <c r="B7" s="21" t="s">
        <v>80</v>
      </c>
      <c r="C7" s="23" t="n">
        <v>119</v>
      </c>
      <c r="D7" s="23" t="n">
        <v>42</v>
      </c>
      <c r="E7" s="23" t="n">
        <v>3338</v>
      </c>
    </row>
    <row r="8" customFormat="false" ht="15" hidden="false" customHeight="false" outlineLevel="0" collapsed="false">
      <c r="A8" s="20" t="s">
        <v>79</v>
      </c>
      <c r="B8" s="21" t="s">
        <v>81</v>
      </c>
      <c r="C8" s="23" t="n">
        <v>87</v>
      </c>
      <c r="D8" s="23" t="n">
        <v>0</v>
      </c>
      <c r="E8" s="23" t="n">
        <v>72</v>
      </c>
    </row>
    <row r="9" customFormat="false" ht="15" hidden="false" customHeight="false" outlineLevel="0" collapsed="false">
      <c r="A9" s="20" t="s">
        <v>79</v>
      </c>
      <c r="B9" s="21" t="s">
        <v>82</v>
      </c>
      <c r="C9" s="23" t="n">
        <v>14</v>
      </c>
      <c r="D9" s="23" t="n">
        <v>40</v>
      </c>
      <c r="E9" s="23" t="n">
        <v>3163</v>
      </c>
    </row>
    <row r="10" customFormat="false" ht="15" hidden="false" customHeight="false" outlineLevel="0" collapsed="false">
      <c r="A10" s="20" t="s">
        <v>79</v>
      </c>
      <c r="B10" s="21" t="s">
        <v>83</v>
      </c>
      <c r="C10" s="23" t="n">
        <v>18</v>
      </c>
      <c r="D10" s="23" t="n">
        <v>2</v>
      </c>
      <c r="E10" s="23" t="n">
        <v>103</v>
      </c>
    </row>
    <row r="11" customFormat="false" ht="15" hidden="false" customHeight="false" outlineLevel="0" collapsed="false">
      <c r="A11" s="20" t="s">
        <v>84</v>
      </c>
      <c r="B11" s="21" t="s">
        <v>85</v>
      </c>
      <c r="C11" s="9" t="s">
        <v>86</v>
      </c>
      <c r="D11" s="9" t="s">
        <v>87</v>
      </c>
      <c r="E11" s="9" t="s">
        <v>87</v>
      </c>
    </row>
    <row r="12" customFormat="false" ht="15" hidden="false" customHeight="false" outlineLevel="0" collapsed="false">
      <c r="A12" s="20" t="s">
        <v>84</v>
      </c>
      <c r="B12" s="21" t="s">
        <v>88</v>
      </c>
      <c r="C12" s="24" t="n">
        <v>0.9</v>
      </c>
      <c r="D12" s="24" t="n">
        <v>0.75</v>
      </c>
      <c r="E12" s="24" t="n">
        <v>0.75</v>
      </c>
    </row>
    <row r="13" customFormat="false" ht="15" hidden="false" customHeight="false" outlineLevel="0" collapsed="false">
      <c r="A13" s="20" t="s">
        <v>84</v>
      </c>
      <c r="B13" s="21" t="s">
        <v>89</v>
      </c>
      <c r="C13" s="23" t="n">
        <v>87</v>
      </c>
      <c r="D13" s="23" t="n">
        <v>40</v>
      </c>
      <c r="E13" s="23" t="n">
        <v>3235</v>
      </c>
    </row>
    <row r="14" customFormat="false" ht="15" hidden="false" customHeight="false" outlineLevel="0" collapsed="false">
      <c r="A14" s="20" t="s">
        <v>84</v>
      </c>
      <c r="B14" s="21" t="s">
        <v>90</v>
      </c>
      <c r="C14" s="25" t="n">
        <f aca="false">C13/C7</f>
        <v>0.73109243697479</v>
      </c>
      <c r="D14" s="25" t="n">
        <f aca="false">D13/D7</f>
        <v>0.952380952380952</v>
      </c>
      <c r="E14" s="25" t="n">
        <f aca="false">E13/E7</f>
        <v>0.969143199520671</v>
      </c>
    </row>
    <row r="15" customFormat="false" ht="15" hidden="false" customHeight="false" outlineLevel="0" collapsed="false">
      <c r="A15" s="20" t="s">
        <v>91</v>
      </c>
      <c r="B15" s="26" t="s">
        <v>92</v>
      </c>
      <c r="C15" s="23" t="n">
        <v>2776</v>
      </c>
      <c r="D15" s="23" t="n">
        <v>839</v>
      </c>
      <c r="E15" s="23" t="n">
        <v>21737</v>
      </c>
    </row>
    <row r="16" customFormat="false" ht="15" hidden="false" customHeight="false" outlineLevel="0" collapsed="false">
      <c r="A16" s="20" t="s">
        <v>91</v>
      </c>
      <c r="B16" s="26" t="s">
        <v>93</v>
      </c>
      <c r="C16" s="23" t="n">
        <v>3148</v>
      </c>
      <c r="D16" s="23" t="n">
        <v>1011</v>
      </c>
      <c r="E16" s="23" t="n">
        <v>22170</v>
      </c>
    </row>
    <row r="17" customFormat="false" ht="15" hidden="false" customHeight="false" outlineLevel="0" collapsed="false">
      <c r="A17" s="20" t="s">
        <v>91</v>
      </c>
      <c r="B17" s="26" t="s">
        <v>94</v>
      </c>
      <c r="C17" s="23" t="n">
        <v>111</v>
      </c>
      <c r="D17" s="23" t="n">
        <v>40</v>
      </c>
      <c r="E17" s="23" t="n">
        <v>3235</v>
      </c>
    </row>
    <row r="18" customFormat="false" ht="15" hidden="false" customHeight="false" outlineLevel="0" collapsed="false">
      <c r="A18" s="20" t="s">
        <v>95</v>
      </c>
      <c r="B18" s="21" t="s">
        <v>96</v>
      </c>
      <c r="C18" s="23" t="n">
        <v>30</v>
      </c>
      <c r="D18" s="23" t="n">
        <v>16</v>
      </c>
      <c r="E18" s="23" t="n">
        <v>30</v>
      </c>
    </row>
    <row r="19" customFormat="false" ht="15" hidden="false" customHeight="false" outlineLevel="0" collapsed="false">
      <c r="A19" s="20" t="s">
        <v>95</v>
      </c>
      <c r="B19" s="21" t="s">
        <v>97</v>
      </c>
      <c r="C19" s="27" t="n">
        <v>50.71</v>
      </c>
      <c r="D19" s="27" t="n">
        <v>14.95</v>
      </c>
      <c r="E19" s="27" t="n">
        <v>434.88</v>
      </c>
    </row>
    <row r="20" customFormat="false" ht="15" hidden="false" customHeight="false" outlineLevel="0" collapsed="false">
      <c r="A20" s="20" t="s">
        <v>95</v>
      </c>
      <c r="B20" s="21" t="s">
        <v>98</v>
      </c>
      <c r="C20" s="23" t="n">
        <v>1</v>
      </c>
      <c r="D20" s="23" t="n">
        <v>1</v>
      </c>
      <c r="E20" s="23" t="n">
        <v>1</v>
      </c>
    </row>
    <row r="21" customFormat="false" ht="15" hidden="false" customHeight="false" outlineLevel="0" collapsed="false">
      <c r="A21" s="20" t="s">
        <v>99</v>
      </c>
      <c r="B21" s="26" t="s">
        <v>100</v>
      </c>
      <c r="C21" s="28" t="n">
        <v>13.1</v>
      </c>
      <c r="D21" s="28" t="n">
        <v>0.3</v>
      </c>
      <c r="E21" s="28" t="n">
        <v>1420.9</v>
      </c>
    </row>
    <row r="22" customFormat="false" ht="15" hidden="false" customHeight="false" outlineLevel="0" collapsed="false">
      <c r="A22" s="20" t="s">
        <v>99</v>
      </c>
      <c r="B22" s="21" t="s">
        <v>101</v>
      </c>
      <c r="C22" s="23" t="n">
        <v>194</v>
      </c>
      <c r="D22" s="23" t="n">
        <v>68</v>
      </c>
      <c r="E22" s="23" t="n">
        <v>137</v>
      </c>
    </row>
    <row r="23" customFormat="false" ht="15" hidden="false" customHeight="false" outlineLevel="0" collapsed="false">
      <c r="A23" s="20" t="s">
        <v>99</v>
      </c>
      <c r="B23" s="21" t="s">
        <v>102</v>
      </c>
      <c r="C23" s="23" t="n">
        <v>4</v>
      </c>
      <c r="D23" s="23" t="n">
        <v>2</v>
      </c>
      <c r="E23" s="23" t="n">
        <v>9</v>
      </c>
    </row>
    <row r="24" customFormat="false" ht="15" hidden="false" customHeight="false" outlineLevel="0" collapsed="false">
      <c r="A24" s="20" t="s">
        <v>103</v>
      </c>
      <c r="B24" s="21" t="s">
        <v>104</v>
      </c>
      <c r="C24" s="11" t="s">
        <v>105</v>
      </c>
      <c r="D24" s="11" t="s">
        <v>106</v>
      </c>
      <c r="E24" s="11" t="s">
        <v>107</v>
      </c>
    </row>
    <row r="25" customFormat="false" ht="15" hidden="false" customHeight="false" outlineLevel="0" collapsed="false">
      <c r="A25" s="20" t="s">
        <v>103</v>
      </c>
      <c r="B25" s="26" t="s">
        <v>108</v>
      </c>
      <c r="C25" s="28" t="n">
        <v>13</v>
      </c>
      <c r="D25" s="28" t="n">
        <v>0.3</v>
      </c>
      <c r="E25" s="28" t="n">
        <v>1624.6</v>
      </c>
    </row>
    <row r="26" customFormat="false" ht="15" hidden="false" customHeight="false" outlineLevel="0" collapsed="false">
      <c r="A26" s="20" t="s">
        <v>103</v>
      </c>
      <c r="B26" s="21" t="s">
        <v>109</v>
      </c>
      <c r="C26" s="23" t="n">
        <v>1</v>
      </c>
      <c r="D26" s="23" t="n">
        <v>1</v>
      </c>
      <c r="E26" s="23" t="n">
        <v>1</v>
      </c>
    </row>
    <row r="27" customFormat="false" ht="15" hidden="false" customHeight="false" outlineLevel="0" collapsed="false">
      <c r="A27" s="20" t="s">
        <v>103</v>
      </c>
      <c r="B27" s="21" t="s">
        <v>110</v>
      </c>
      <c r="C27" s="23" t="n">
        <v>0</v>
      </c>
      <c r="D27" s="23" t="n">
        <v>0</v>
      </c>
      <c r="E27" s="23" t="n">
        <v>0</v>
      </c>
    </row>
    <row r="28" customFormat="false" ht="15" hidden="false" customHeight="false" outlineLevel="0" collapsed="false">
      <c r="A28" s="20" t="s">
        <v>103</v>
      </c>
      <c r="B28" s="21" t="s">
        <v>111</v>
      </c>
      <c r="C28" s="11" t="s">
        <v>112</v>
      </c>
      <c r="D28" s="11" t="s">
        <v>112</v>
      </c>
      <c r="E28" s="11" t="s">
        <v>112</v>
      </c>
    </row>
    <row r="29" customFormat="false" ht="15" hidden="false" customHeight="false" outlineLevel="0" collapsed="false">
      <c r="A29" s="20" t="s">
        <v>113</v>
      </c>
      <c r="B29" s="26" t="s">
        <v>114</v>
      </c>
      <c r="C29" s="23" t="n">
        <v>78135</v>
      </c>
      <c r="D29" s="23" t="n">
        <v>34145</v>
      </c>
      <c r="E29" s="23" t="n">
        <v>58264</v>
      </c>
    </row>
    <row r="30" customFormat="false" ht="15" hidden="false" customHeight="false" outlineLevel="0" collapsed="false">
      <c r="A30" s="20" t="s">
        <v>113</v>
      </c>
      <c r="B30" s="21" t="s">
        <v>115</v>
      </c>
      <c r="C30" s="28" t="n">
        <v>0.1</v>
      </c>
      <c r="D30" s="28" t="n">
        <v>0</v>
      </c>
      <c r="E30" s="28" t="n">
        <v>0</v>
      </c>
    </row>
    <row r="31" customFormat="false" ht="15" hidden="false" customHeight="false" outlineLevel="0" collapsed="false">
      <c r="A31" s="20" t="s">
        <v>116</v>
      </c>
      <c r="B31" s="29" t="s">
        <v>117</v>
      </c>
      <c r="C31" s="30" t="n">
        <v>31.5</v>
      </c>
      <c r="D31" s="30" t="n">
        <v>6.5</v>
      </c>
      <c r="E31" s="30" t="n">
        <v>3083.3</v>
      </c>
    </row>
    <row r="32" customFormat="false" ht="15" hidden="false" customHeight="false" outlineLevel="0" collapsed="false">
      <c r="A32" s="20" t="s">
        <v>116</v>
      </c>
      <c r="B32" s="29" t="s">
        <v>118</v>
      </c>
      <c r="C32" s="30" t="n">
        <f aca="false">C31/60</f>
        <v>0.525</v>
      </c>
      <c r="D32" s="30" t="n">
        <f aca="false">D31/60</f>
        <v>0.108333333333333</v>
      </c>
      <c r="E32" s="30" t="n">
        <f aca="false">E31/60</f>
        <v>51.3883333333333</v>
      </c>
    </row>
    <row r="33" customFormat="false" ht="15" hidden="false" customHeight="false" outlineLevel="0" collapsed="false">
      <c r="A33" s="20" t="s">
        <v>116</v>
      </c>
      <c r="B33" s="29" t="s">
        <v>119</v>
      </c>
      <c r="C33" s="31" t="n">
        <v>2</v>
      </c>
      <c r="D33" s="31" t="n">
        <v>2</v>
      </c>
      <c r="E33" s="31" t="n">
        <v>2</v>
      </c>
    </row>
    <row r="35" customFormat="false" ht="39" hidden="false" customHeight="true" outlineLevel="0" collapsed="false">
      <c r="A35" s="32" t="s">
        <v>120</v>
      </c>
      <c r="B35" s="32"/>
      <c r="C35" s="32"/>
      <c r="D35" s="32"/>
      <c r="E35" s="32"/>
    </row>
    <row r="37" customFormat="false" ht="25.5" hidden="false" customHeight="true" outlineLevel="0" collapsed="false">
      <c r="A37" s="32" t="s">
        <v>121</v>
      </c>
      <c r="B37" s="32"/>
      <c r="C37" s="32"/>
      <c r="D37" s="32"/>
      <c r="E37" s="32"/>
    </row>
  </sheetData>
  <mergeCells count="2">
    <mergeCell ref="A35:E35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8" t="s">
        <v>122</v>
      </c>
    </row>
    <row r="2" customFormat="false" ht="15" hidden="false" customHeight="false" outlineLevel="0" collapsed="false">
      <c r="A2" s="2" t="s">
        <v>123</v>
      </c>
    </row>
    <row r="4" customFormat="false" ht="19.5" hidden="false" customHeight="true" outlineLevel="0" collapsed="false">
      <c r="A4" s="3" t="s">
        <v>124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8" t="s">
        <v>125</v>
      </c>
      <c r="B5" s="8" t="s">
        <v>126</v>
      </c>
      <c r="C5" s="19" t="s">
        <v>127</v>
      </c>
      <c r="D5" s="19" t="s">
        <v>128</v>
      </c>
      <c r="E5" s="8" t="s">
        <v>129</v>
      </c>
      <c r="F5" s="8" t="s">
        <v>130</v>
      </c>
    </row>
    <row r="6" customFormat="false" ht="21.75" hidden="false" customHeight="true" outlineLevel="0" collapsed="false">
      <c r="A6" s="21" t="s">
        <v>131</v>
      </c>
      <c r="B6" s="13" t="s">
        <v>132</v>
      </c>
      <c r="C6" s="23" t="n">
        <v>105</v>
      </c>
      <c r="D6" s="23" t="n">
        <v>105</v>
      </c>
      <c r="E6" s="23" t="n">
        <v>0</v>
      </c>
      <c r="F6" s="33" t="n">
        <f aca="false">E6/D6</f>
        <v>0</v>
      </c>
    </row>
    <row r="7" customFormat="false" ht="21.75" hidden="false" customHeight="true" outlineLevel="0" collapsed="false">
      <c r="A7" s="26" t="s">
        <v>133</v>
      </c>
      <c r="B7" s="13" t="s">
        <v>134</v>
      </c>
      <c r="C7" s="23" t="n">
        <v>4</v>
      </c>
      <c r="D7" s="23" t="n">
        <v>2</v>
      </c>
      <c r="E7" s="23" t="n">
        <v>0</v>
      </c>
      <c r="F7" s="33" t="n">
        <f aca="false">E7/D7</f>
        <v>0</v>
      </c>
    </row>
    <row r="8" customFormat="false" ht="21.75" hidden="false" customHeight="true" outlineLevel="0" collapsed="false">
      <c r="A8" s="29" t="s">
        <v>135</v>
      </c>
      <c r="B8" s="13" t="s">
        <v>136</v>
      </c>
      <c r="C8" s="31" t="n">
        <v>4</v>
      </c>
      <c r="D8" s="31" t="n">
        <v>2</v>
      </c>
      <c r="E8" s="31" t="n">
        <v>2</v>
      </c>
      <c r="F8" s="33" t="n">
        <f aca="false">E8/D8</f>
        <v>1</v>
      </c>
    </row>
    <row r="9" customFormat="false" ht="39" hidden="false" customHeight="true" outlineLevel="0" collapsed="false">
      <c r="A9" s="17" t="s">
        <v>137</v>
      </c>
      <c r="B9" s="17"/>
      <c r="C9" s="17"/>
      <c r="D9" s="17"/>
      <c r="E9" s="17"/>
      <c r="F9" s="17"/>
    </row>
    <row r="11" customFormat="false" ht="19.5" hidden="false" customHeight="true" outlineLevel="0" collapsed="false">
      <c r="A11" s="3" t="s">
        <v>138</v>
      </c>
      <c r="B11" s="4"/>
      <c r="C11" s="4"/>
      <c r="D11" s="4"/>
      <c r="E11" s="4"/>
      <c r="F11" s="4"/>
    </row>
    <row r="12" customFormat="false" ht="30" hidden="false" customHeight="true" outlineLevel="0" collapsed="false">
      <c r="A12" s="8" t="s">
        <v>139</v>
      </c>
      <c r="B12" s="8" t="s">
        <v>140</v>
      </c>
      <c r="C12" s="8" t="s">
        <v>141</v>
      </c>
      <c r="D12" s="8" t="s">
        <v>142</v>
      </c>
      <c r="E12" s="8" t="s">
        <v>143</v>
      </c>
      <c r="F12" s="8" t="s">
        <v>144</v>
      </c>
    </row>
    <row r="13" customFormat="false" ht="25.5" hidden="false" customHeight="true" outlineLevel="0" collapsed="false">
      <c r="A13" s="15" t="s">
        <v>145</v>
      </c>
      <c r="B13" s="13" t="s">
        <v>146</v>
      </c>
      <c r="C13" s="9" t="s">
        <v>24</v>
      </c>
      <c r="D13" s="9" t="s">
        <v>24</v>
      </c>
      <c r="E13" s="9" t="s">
        <v>24</v>
      </c>
      <c r="F13" s="13" t="s">
        <v>147</v>
      </c>
    </row>
    <row r="14" customFormat="false" ht="25.5" hidden="false" customHeight="true" outlineLevel="0" collapsed="false">
      <c r="A14" s="15" t="s">
        <v>148</v>
      </c>
      <c r="B14" s="13" t="s">
        <v>149</v>
      </c>
      <c r="C14" s="9" t="n">
        <v>1</v>
      </c>
      <c r="D14" s="9" t="n">
        <v>1</v>
      </c>
      <c r="E14" s="9" t="n">
        <v>0</v>
      </c>
      <c r="F14" s="34" t="s">
        <v>24</v>
      </c>
    </row>
    <row r="15" customFormat="false" ht="25.5" hidden="false" customHeight="true" outlineLevel="0" collapsed="false">
      <c r="A15" s="15" t="s">
        <v>150</v>
      </c>
      <c r="B15" s="13" t="s">
        <v>151</v>
      </c>
      <c r="C15" s="9" t="n">
        <v>0</v>
      </c>
      <c r="D15" s="9" t="n">
        <v>1</v>
      </c>
      <c r="E15" s="9" t="n">
        <v>1</v>
      </c>
      <c r="F15" s="35" t="s">
        <v>152</v>
      </c>
    </row>
    <row r="16" customFormat="false" ht="25.5" hidden="false" customHeight="true" outlineLevel="0" collapsed="false">
      <c r="A16" s="15" t="s">
        <v>153</v>
      </c>
      <c r="B16" s="13" t="s">
        <v>154</v>
      </c>
      <c r="C16" s="9" t="n">
        <v>1</v>
      </c>
      <c r="D16" s="9" t="n">
        <v>1</v>
      </c>
      <c r="E16" s="9" t="n">
        <v>0</v>
      </c>
      <c r="F16" s="13" t="s">
        <v>155</v>
      </c>
    </row>
    <row r="17" customFormat="false" ht="39" hidden="false" customHeight="true" outlineLevel="0" collapsed="false">
      <c r="A17" s="17" t="s">
        <v>156</v>
      </c>
      <c r="B17" s="17"/>
      <c r="C17" s="17"/>
      <c r="D17" s="17"/>
      <c r="E17" s="17"/>
      <c r="F17" s="17"/>
    </row>
    <row r="19" customFormat="false" ht="19.5" hidden="false" customHeight="true" outlineLevel="0" collapsed="false">
      <c r="A19" s="3" t="s">
        <v>157</v>
      </c>
      <c r="B19" s="4"/>
      <c r="C19" s="4"/>
      <c r="D19" s="4"/>
      <c r="E19" s="4"/>
      <c r="F19" s="4"/>
    </row>
    <row r="20" customFormat="false" ht="25.5" hidden="false" customHeight="true" outlineLevel="0" collapsed="false">
      <c r="A20" s="32" t="s">
        <v>158</v>
      </c>
      <c r="B20" s="32"/>
      <c r="C20" s="32"/>
      <c r="D20" s="32"/>
      <c r="E20" s="32"/>
      <c r="F20" s="32"/>
    </row>
    <row r="21" customFormat="false" ht="25.5" hidden="false" customHeight="true" outlineLevel="0" collapsed="false">
      <c r="A21" s="32" t="s">
        <v>159</v>
      </c>
      <c r="B21" s="32"/>
      <c r="C21" s="32"/>
      <c r="D21" s="32"/>
      <c r="E21" s="32"/>
      <c r="F21" s="32"/>
    </row>
    <row r="22" customFormat="false" ht="25.5" hidden="false" customHeight="true" outlineLevel="0" collapsed="false">
      <c r="A22" s="32" t="s">
        <v>160</v>
      </c>
      <c r="B22" s="32"/>
      <c r="C22" s="32"/>
      <c r="D22" s="32"/>
      <c r="E22" s="32"/>
      <c r="F22" s="32"/>
    </row>
  </sheetData>
  <mergeCells count="5">
    <mergeCell ref="A9:F9"/>
    <mergeCell ref="A17:F17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8" t="s">
        <v>161</v>
      </c>
    </row>
    <row r="2" customFormat="false" ht="15" hidden="false" customHeight="false" outlineLevel="0" collapsed="false">
      <c r="A2" s="2" t="s">
        <v>162</v>
      </c>
    </row>
    <row r="4" customFormat="false" ht="19.5" hidden="false" customHeight="true" outlineLevel="0" collapsed="false">
      <c r="A4" s="3" t="s">
        <v>163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8" t="s">
        <v>164</v>
      </c>
      <c r="B5" s="8" t="s">
        <v>165</v>
      </c>
      <c r="C5" s="8" t="s">
        <v>166</v>
      </c>
      <c r="D5" s="8" t="s">
        <v>167</v>
      </c>
      <c r="E5" s="8" t="s">
        <v>168</v>
      </c>
      <c r="F5" s="8" t="s">
        <v>169</v>
      </c>
    </row>
    <row r="6" customFormat="false" ht="27.75" hidden="false" customHeight="true" outlineLevel="0" collapsed="false">
      <c r="A6" s="15" t="s">
        <v>170</v>
      </c>
      <c r="B6" s="15" t="s">
        <v>171</v>
      </c>
      <c r="C6" s="7" t="s">
        <v>172</v>
      </c>
      <c r="D6" s="9" t="s">
        <v>173</v>
      </c>
      <c r="E6" s="34" t="s">
        <v>174</v>
      </c>
      <c r="F6" s="13" t="s">
        <v>175</v>
      </c>
    </row>
    <row r="7" customFormat="false" ht="27.75" hidden="false" customHeight="true" outlineLevel="0" collapsed="false">
      <c r="A7" s="15" t="s">
        <v>176</v>
      </c>
      <c r="B7" s="15" t="s">
        <v>177</v>
      </c>
      <c r="C7" s="7" t="s">
        <v>178</v>
      </c>
      <c r="D7" s="9" t="s">
        <v>24</v>
      </c>
      <c r="E7" s="13" t="s">
        <v>179</v>
      </c>
      <c r="F7" s="13" t="s">
        <v>180</v>
      </c>
    </row>
    <row r="8" customFormat="false" ht="27.75" hidden="false" customHeight="true" outlineLevel="0" collapsed="false">
      <c r="A8" s="15" t="s">
        <v>181</v>
      </c>
      <c r="B8" s="9" t="s">
        <v>182</v>
      </c>
      <c r="C8" s="7" t="s">
        <v>183</v>
      </c>
      <c r="D8" s="9" t="s">
        <v>184</v>
      </c>
      <c r="E8" s="34" t="s">
        <v>24</v>
      </c>
      <c r="F8" s="13" t="s">
        <v>185</v>
      </c>
    </row>
    <row r="9" customFormat="false" ht="25.5" hidden="false" customHeight="true" outlineLevel="0" collapsed="false">
      <c r="A9" s="17" t="s">
        <v>186</v>
      </c>
      <c r="B9" s="17"/>
      <c r="C9" s="17"/>
      <c r="D9" s="17"/>
      <c r="E9" s="17"/>
      <c r="F9" s="17"/>
    </row>
    <row r="11" customFormat="false" ht="19.5" hidden="false" customHeight="true" outlineLevel="0" collapsed="false">
      <c r="A11" s="3" t="s">
        <v>187</v>
      </c>
      <c r="B11" s="4"/>
      <c r="C11" s="4"/>
      <c r="D11" s="4"/>
      <c r="E11" s="4"/>
      <c r="F11" s="4"/>
    </row>
    <row r="12" customFormat="false" ht="30" hidden="false" customHeight="true" outlineLevel="0" collapsed="false">
      <c r="A12" s="8" t="s">
        <v>188</v>
      </c>
      <c r="B12" s="8" t="s">
        <v>189</v>
      </c>
      <c r="C12" s="8" t="s">
        <v>190</v>
      </c>
      <c r="D12" s="8" t="s">
        <v>191</v>
      </c>
      <c r="E12" s="8" t="s">
        <v>192</v>
      </c>
      <c r="F12" s="8" t="s">
        <v>193</v>
      </c>
    </row>
    <row r="13" customFormat="false" ht="15" hidden="false" customHeight="false" outlineLevel="0" collapsed="false">
      <c r="A13" s="36" t="s">
        <v>194</v>
      </c>
      <c r="B13" s="37" t="s">
        <v>195</v>
      </c>
      <c r="C13" s="37" t="s">
        <v>196</v>
      </c>
      <c r="D13" s="36" t="s">
        <v>197</v>
      </c>
      <c r="E13" s="36" t="s">
        <v>198</v>
      </c>
      <c r="F13" s="20" t="s">
        <v>199</v>
      </c>
    </row>
    <row r="14" customFormat="false" ht="15" hidden="false" customHeight="false" outlineLevel="0" collapsed="false">
      <c r="A14" s="36" t="s">
        <v>194</v>
      </c>
      <c r="B14" s="37" t="s">
        <v>200</v>
      </c>
      <c r="C14" s="37" t="s">
        <v>201</v>
      </c>
      <c r="D14" s="36" t="s">
        <v>197</v>
      </c>
      <c r="E14" s="36" t="s">
        <v>198</v>
      </c>
      <c r="F14" s="20" t="s">
        <v>199</v>
      </c>
    </row>
    <row r="15" customFormat="false" ht="15" hidden="false" customHeight="false" outlineLevel="0" collapsed="false">
      <c r="A15" s="36" t="s">
        <v>194</v>
      </c>
      <c r="B15" s="38" t="s">
        <v>202</v>
      </c>
      <c r="C15" s="37" t="s">
        <v>203</v>
      </c>
      <c r="D15" s="36" t="s">
        <v>197</v>
      </c>
      <c r="E15" s="36" t="s">
        <v>198</v>
      </c>
      <c r="F15" s="20" t="s">
        <v>199</v>
      </c>
    </row>
    <row r="16" customFormat="false" ht="15" hidden="false" customHeight="false" outlineLevel="0" collapsed="false">
      <c r="A16" s="36" t="s">
        <v>194</v>
      </c>
      <c r="B16" s="37" t="s">
        <v>204</v>
      </c>
      <c r="C16" s="37" t="s">
        <v>205</v>
      </c>
      <c r="D16" s="36" t="s">
        <v>206</v>
      </c>
      <c r="E16" s="36" t="s">
        <v>207</v>
      </c>
      <c r="F16" s="20" t="s">
        <v>199</v>
      </c>
    </row>
    <row r="17" customFormat="false" ht="15" hidden="false" customHeight="false" outlineLevel="0" collapsed="false">
      <c r="A17" s="36" t="s">
        <v>208</v>
      </c>
      <c r="B17" s="37" t="s">
        <v>209</v>
      </c>
      <c r="C17" s="37" t="s">
        <v>210</v>
      </c>
      <c r="D17" s="12" t="s">
        <v>211</v>
      </c>
      <c r="E17" s="12" t="s">
        <v>211</v>
      </c>
      <c r="F17" s="20" t="s">
        <v>212</v>
      </c>
    </row>
    <row r="18" customFormat="false" ht="15" hidden="false" customHeight="false" outlineLevel="0" collapsed="false">
      <c r="A18" s="36" t="s">
        <v>208</v>
      </c>
      <c r="B18" s="37" t="s">
        <v>213</v>
      </c>
      <c r="C18" s="37" t="s">
        <v>214</v>
      </c>
      <c r="D18" s="12" t="s">
        <v>211</v>
      </c>
      <c r="E18" s="12" t="s">
        <v>215</v>
      </c>
      <c r="F18" s="20" t="s">
        <v>199</v>
      </c>
    </row>
    <row r="19" customFormat="false" ht="15" hidden="false" customHeight="false" outlineLevel="0" collapsed="false">
      <c r="A19" s="36" t="s">
        <v>208</v>
      </c>
      <c r="B19" s="37" t="s">
        <v>216</v>
      </c>
      <c r="C19" s="38" t="s">
        <v>217</v>
      </c>
      <c r="D19" s="12" t="s">
        <v>211</v>
      </c>
      <c r="E19" s="36" t="s">
        <v>218</v>
      </c>
      <c r="F19" s="20" t="s">
        <v>219</v>
      </c>
    </row>
    <row r="20" customFormat="false" ht="39" hidden="false" customHeight="true" outlineLevel="0" collapsed="false">
      <c r="A20" s="17" t="s">
        <v>220</v>
      </c>
      <c r="B20" s="17"/>
      <c r="C20" s="17"/>
      <c r="D20" s="17"/>
      <c r="E20" s="17"/>
      <c r="F20" s="17"/>
    </row>
    <row r="22" customFormat="false" ht="19.5" hidden="false" customHeight="true" outlineLevel="0" collapsed="false">
      <c r="A22" s="3" t="s">
        <v>221</v>
      </c>
      <c r="B22" s="4"/>
      <c r="C22" s="4"/>
      <c r="D22" s="4"/>
      <c r="E22" s="4"/>
      <c r="F22" s="4"/>
    </row>
    <row r="23" customFormat="false" ht="30" hidden="false" customHeight="true" outlineLevel="0" collapsed="false">
      <c r="A23" s="8" t="s">
        <v>164</v>
      </c>
      <c r="B23" s="8" t="s">
        <v>222</v>
      </c>
      <c r="C23" s="8" t="s">
        <v>223</v>
      </c>
      <c r="D23" s="8" t="s">
        <v>224</v>
      </c>
      <c r="E23" s="8" t="s">
        <v>225</v>
      </c>
      <c r="F23" s="8" t="s">
        <v>226</v>
      </c>
    </row>
    <row r="24" customFormat="false" ht="15" hidden="false" customHeight="false" outlineLevel="0" collapsed="false">
      <c r="A24" s="15" t="s">
        <v>227</v>
      </c>
      <c r="B24" s="11" t="s">
        <v>228</v>
      </c>
      <c r="C24" s="23" t="n">
        <v>2588</v>
      </c>
      <c r="D24" s="28" t="n">
        <v>2034.7</v>
      </c>
      <c r="E24" s="23" t="n">
        <v>334</v>
      </c>
      <c r="F24" s="13" t="s">
        <v>229</v>
      </c>
    </row>
    <row r="25" customFormat="false" ht="15" hidden="false" customHeight="false" outlineLevel="0" collapsed="false">
      <c r="A25" s="15" t="s">
        <v>170</v>
      </c>
      <c r="B25" s="11" t="s">
        <v>230</v>
      </c>
      <c r="C25" s="23" t="n">
        <v>2754</v>
      </c>
      <c r="D25" s="28" t="n">
        <v>592.3</v>
      </c>
      <c r="E25" s="23" t="n">
        <v>223</v>
      </c>
      <c r="F25" s="13" t="s">
        <v>231</v>
      </c>
    </row>
    <row r="26" customFormat="false" ht="15" hidden="false" customHeight="false" outlineLevel="0" collapsed="false">
      <c r="A26" s="15" t="s">
        <v>232</v>
      </c>
      <c r="B26" s="11" t="s">
        <v>230</v>
      </c>
      <c r="C26" s="23" t="n">
        <v>1108</v>
      </c>
      <c r="D26" s="28" t="n">
        <v>4028.4</v>
      </c>
      <c r="E26" s="23" t="n">
        <v>4350</v>
      </c>
      <c r="F26" s="13" t="s">
        <v>233</v>
      </c>
    </row>
    <row r="27" customFormat="false" ht="15" hidden="false" customHeight="false" outlineLevel="0" collapsed="false">
      <c r="A27" s="15" t="s">
        <v>234</v>
      </c>
      <c r="B27" s="11" t="s">
        <v>230</v>
      </c>
      <c r="C27" s="23" t="n">
        <v>0</v>
      </c>
      <c r="D27" s="28" t="n">
        <v>0</v>
      </c>
      <c r="E27" s="23" t="n">
        <v>0</v>
      </c>
      <c r="F27" s="13" t="s">
        <v>235</v>
      </c>
    </row>
    <row r="28" customFormat="false" ht="39" hidden="false" customHeight="true" outlineLevel="0" collapsed="false">
      <c r="A28" s="17" t="s">
        <v>236</v>
      </c>
      <c r="B28" s="17"/>
      <c r="C28" s="17"/>
      <c r="D28" s="17"/>
      <c r="E28" s="17"/>
      <c r="F28" s="17"/>
    </row>
  </sheetData>
  <mergeCells count="3">
    <mergeCell ref="A9:F9"/>
    <mergeCell ref="A20:F20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24" hidden="false" customHeight="true" outlineLevel="0" collapsed="false">
      <c r="A1" s="18" t="s">
        <v>237</v>
      </c>
    </row>
    <row r="2" customFormat="false" ht="15" hidden="false" customHeight="false" outlineLevel="0" collapsed="false">
      <c r="A2" s="39" t="s">
        <v>238</v>
      </c>
    </row>
    <row r="4" customFormat="false" ht="19.5" hidden="false" customHeight="true" outlineLevel="0" collapsed="false">
      <c r="A4" s="3" t="s">
        <v>239</v>
      </c>
      <c r="B4" s="4"/>
      <c r="C4" s="4"/>
      <c r="D4" s="4"/>
      <c r="E4" s="4"/>
      <c r="F4" s="4"/>
      <c r="G4" s="4"/>
    </row>
    <row r="5" customFormat="false" ht="72" hidden="false" customHeight="true" outlineLevel="0" collapsed="false">
      <c r="A5" s="40" t="s">
        <v>240</v>
      </c>
      <c r="B5" s="40"/>
      <c r="C5" s="40"/>
      <c r="D5" s="40"/>
      <c r="E5" s="40"/>
      <c r="F5" s="40"/>
      <c r="G5" s="40"/>
    </row>
    <row r="6" customFormat="false" ht="12.75" hidden="false" customHeight="true" outlineLevel="0" collapsed="false">
      <c r="A6" s="17" t="s">
        <v>241</v>
      </c>
      <c r="B6" s="17"/>
      <c r="C6" s="17"/>
      <c r="D6" s="17"/>
      <c r="E6" s="17"/>
      <c r="F6" s="17"/>
      <c r="G6" s="17"/>
    </row>
    <row r="8" customFormat="false" ht="19.5" hidden="false" customHeight="true" outlineLevel="0" collapsed="false">
      <c r="A8" s="3" t="s">
        <v>242</v>
      </c>
      <c r="B8" s="4"/>
      <c r="C8" s="4"/>
      <c r="D8" s="4"/>
      <c r="E8" s="4"/>
      <c r="F8" s="4"/>
      <c r="G8" s="4"/>
    </row>
    <row r="9" customFormat="false" ht="30" hidden="false" customHeight="true" outlineLevel="0" collapsed="false">
      <c r="A9" s="8" t="s">
        <v>17</v>
      </c>
      <c r="B9" s="8" t="s">
        <v>243</v>
      </c>
      <c r="C9" s="19" t="s">
        <v>244</v>
      </c>
      <c r="D9" s="19" t="s">
        <v>245</v>
      </c>
      <c r="E9" s="8" t="s">
        <v>246</v>
      </c>
      <c r="F9" s="8" t="s">
        <v>247</v>
      </c>
      <c r="G9" s="8" t="s">
        <v>248</v>
      </c>
    </row>
    <row r="10" customFormat="false" ht="21.75" hidden="false" customHeight="true" outlineLevel="0" collapsed="false">
      <c r="A10" s="21" t="s">
        <v>249</v>
      </c>
      <c r="B10" s="28" t="n">
        <v>129.5</v>
      </c>
      <c r="C10" s="23" t="n">
        <v>30</v>
      </c>
      <c r="D10" s="28" t="n">
        <v>468</v>
      </c>
      <c r="E10" s="28" t="n">
        <v>12.9</v>
      </c>
      <c r="F10" s="30" t="n">
        <f aca="false">D10+E10</f>
        <v>480.9</v>
      </c>
      <c r="G10" s="33" t="n">
        <f aca="false">F10/B10</f>
        <v>3.71351351351351</v>
      </c>
    </row>
    <row r="11" customFormat="false" ht="21.75" hidden="false" customHeight="true" outlineLevel="0" collapsed="false">
      <c r="A11" s="5" t="s">
        <v>250</v>
      </c>
      <c r="B11" s="28" t="n">
        <v>134.1</v>
      </c>
      <c r="C11" s="31" t="n">
        <v>0</v>
      </c>
      <c r="D11" s="30" t="n">
        <v>0</v>
      </c>
      <c r="E11" s="30" t="n">
        <v>0</v>
      </c>
      <c r="F11" s="30" t="n">
        <f aca="false">D11+E11</f>
        <v>0</v>
      </c>
      <c r="G11" s="33" t="n">
        <f aca="false">F11/B11</f>
        <v>0</v>
      </c>
    </row>
    <row r="12" customFormat="false" ht="21.75" hidden="false" customHeight="true" outlineLevel="0" collapsed="false">
      <c r="A12" s="26" t="s">
        <v>251</v>
      </c>
      <c r="B12" s="28" t="n">
        <v>134.1</v>
      </c>
      <c r="C12" s="23" t="n">
        <v>32</v>
      </c>
      <c r="D12" s="28" t="n">
        <v>499.2</v>
      </c>
      <c r="E12" s="28" t="n">
        <v>12.9</v>
      </c>
      <c r="F12" s="30" t="n">
        <f aca="false">D12+E12</f>
        <v>512.1</v>
      </c>
      <c r="G12" s="33" t="n">
        <f aca="false">F12/B12</f>
        <v>3.81879194630873</v>
      </c>
    </row>
    <row r="13" customFormat="false" ht="24" hidden="false" customHeight="true" outlineLevel="0" collapsed="false">
      <c r="A13" s="41" t="s">
        <v>252</v>
      </c>
      <c r="B13" s="41"/>
      <c r="C13" s="41"/>
      <c r="D13" s="41"/>
      <c r="E13" s="41"/>
      <c r="F13" s="42" t="n">
        <f aca="false">F12-F11</f>
        <v>512.1</v>
      </c>
      <c r="G13" s="43" t="n">
        <f aca="false">F13/B11</f>
        <v>3.81879194630873</v>
      </c>
    </row>
    <row r="15" customFormat="false" ht="25.5" hidden="false" customHeight="true" outlineLevel="0" collapsed="false">
      <c r="A15" s="17" t="s">
        <v>253</v>
      </c>
      <c r="B15" s="17"/>
      <c r="C15" s="17"/>
      <c r="D15" s="17"/>
      <c r="E15" s="17"/>
      <c r="F15" s="17"/>
      <c r="G15" s="17"/>
    </row>
    <row r="17" customFormat="false" ht="12.75" hidden="false" customHeight="true" outlineLevel="0" collapsed="false">
      <c r="A17" s="32" t="s">
        <v>254</v>
      </c>
      <c r="B17" s="32"/>
      <c r="C17" s="32"/>
      <c r="D17" s="32"/>
      <c r="E17" s="32"/>
      <c r="F17" s="32"/>
      <c r="G17" s="32"/>
    </row>
    <row r="19" customFormat="false" ht="19.5" hidden="false" customHeight="true" outlineLevel="0" collapsed="false">
      <c r="A19" s="3" t="s">
        <v>255</v>
      </c>
      <c r="B19" s="4"/>
      <c r="C19" s="4"/>
      <c r="D19" s="4"/>
      <c r="E19" s="4"/>
      <c r="F19" s="4"/>
      <c r="G19" s="4"/>
    </row>
    <row r="20" customFormat="false" ht="30" hidden="false" customHeight="true" outlineLevel="0" collapsed="false">
      <c r="A20" s="8" t="s">
        <v>17</v>
      </c>
      <c r="B20" s="8" t="s">
        <v>56</v>
      </c>
      <c r="C20" s="8"/>
      <c r="D20" s="8"/>
      <c r="E20" s="8"/>
      <c r="F20" s="8"/>
      <c r="G20" s="8"/>
    </row>
    <row r="21" customFormat="false" ht="42" hidden="false" customHeight="true" outlineLevel="0" collapsed="false">
      <c r="A21" s="44" t="s">
        <v>256</v>
      </c>
      <c r="B21" s="45" t="s">
        <v>257</v>
      </c>
      <c r="C21" s="45"/>
      <c r="D21" s="45"/>
      <c r="E21" s="45"/>
      <c r="F21" s="45"/>
      <c r="G21" s="45"/>
    </row>
    <row r="22" customFormat="false" ht="42" hidden="false" customHeight="true" outlineLevel="0" collapsed="false">
      <c r="A22" s="44" t="s">
        <v>258</v>
      </c>
      <c r="B22" s="46" t="s">
        <v>259</v>
      </c>
      <c r="C22" s="46"/>
      <c r="D22" s="46"/>
      <c r="E22" s="46"/>
      <c r="F22" s="46"/>
      <c r="G22" s="46"/>
    </row>
    <row r="23" customFormat="false" ht="15.75" hidden="false" customHeight="true" outlineLevel="0" collapsed="false">
      <c r="A23" s="44" t="s">
        <v>260</v>
      </c>
      <c r="B23" s="46" t="s">
        <v>261</v>
      </c>
      <c r="C23" s="46"/>
      <c r="D23" s="46"/>
      <c r="E23" s="46"/>
      <c r="F23" s="46"/>
      <c r="G23" s="46"/>
    </row>
    <row r="24" customFormat="false" ht="42" hidden="false" customHeight="true" outlineLevel="0" collapsed="false">
      <c r="A24" s="44" t="s">
        <v>262</v>
      </c>
      <c r="B24" s="45" t="s">
        <v>263</v>
      </c>
      <c r="C24" s="45"/>
      <c r="D24" s="45"/>
      <c r="E24" s="45"/>
      <c r="F24" s="45"/>
      <c r="G24" s="45"/>
    </row>
    <row r="25" customFormat="false" ht="28.5" hidden="false" customHeight="true" outlineLevel="0" collapsed="false">
      <c r="A25" s="44" t="s">
        <v>264</v>
      </c>
      <c r="B25" s="47" t="s">
        <v>265</v>
      </c>
      <c r="C25" s="47"/>
      <c r="D25" s="47"/>
      <c r="E25" s="47"/>
      <c r="F25" s="47"/>
      <c r="G25" s="47"/>
    </row>
  </sheetData>
  <mergeCells count="10">
    <mergeCell ref="A5:G5"/>
    <mergeCell ref="A6:G6"/>
    <mergeCell ref="A13:E13"/>
    <mergeCell ref="A15:G15"/>
    <mergeCell ref="A17:G17"/>
    <mergeCell ref="B21:G21"/>
    <mergeCell ref="B22:G22"/>
    <mergeCell ref="B23:G23"/>
    <mergeCell ref="B24:G2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2026-08-31T12:54:53Z</dcterms:created>
  <dc:creator>openpyxl</dc:creator>
  <dc:description/>
  <dc:language>en-US</dc:language>
  <cp:lastModifiedBy/>
  <dcterms:modified xsi:type="dcterms:W3CDTF">2026-08-31T12:54:53Z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